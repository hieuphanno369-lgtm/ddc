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Data" sheetId="1" state="visible" r:id="rId3"/>
    <sheet name="DanhMuc_ThamChieu" sheetId="2" state="hidden" r:id="rId4"/>
    <sheet name="Log_case" sheetId="3" state="visible" r:id="rId5"/>
  </sheets>
  <definedNames>
    <definedName function="false" hidden="true" localSheetId="0" name="_xlnm._FilterDatabase" vbProcedure="false">MasterData!$A$7:$AS$24</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Mã tự sinh theo quy tắc M-xxxxx (xem sheet KeHoach_ThuThap) — không đổi khi dự án đổi mã hợp đồng.</t>
        </r>
      </text>
    </comment>
    <comment ref="B9" authorId="0">
      <text>
        <r>
          <rPr>
            <sz val="10"/>
            <rFont val="Arial"/>
            <family val="2"/>
          </rPr>
          <t xml:space="preserve">Mã tự sinh theo quy tắc M-xxxxx (xem sheet KeHoach_ThuThap) — không đổi khi dự án đổi mã hợp đồng.</t>
        </r>
      </text>
    </comment>
    <comment ref="B10" authorId="0">
      <text>
        <r>
          <rPr>
            <sz val="10"/>
            <rFont val="Arial"/>
            <family val="2"/>
          </rPr>
          <t xml:space="preserve">Mã tự sinh theo quy tắc M-xxxxx (xem sheet KeHoach_ThuThap) — không đổi khi dự án đổi mã hợp đồng.</t>
        </r>
      </text>
    </comment>
    <comment ref="B11" authorId="0">
      <text>
        <r>
          <rPr>
            <sz val="10"/>
            <rFont val="Arial"/>
            <family val="2"/>
          </rPr>
          <t xml:space="preserve">Mã tự sinh theo quy tắc M-xxxxx (xem sheet KeHoach_ThuThap) — không đổi khi dự án đổi mã hợp đồng.</t>
        </r>
      </text>
    </comment>
    <comment ref="B12" authorId="0">
      <text>
        <r>
          <rPr>
            <sz val="10"/>
            <rFont val="Arial"/>
            <family val="2"/>
          </rPr>
          <t xml:space="preserve">Mã tự sinh theo quy tắc M-xxxxx (xem sheet KeHoach_ThuThap) — không đổi khi dự án đổi mã hợp đồng.</t>
        </r>
      </text>
    </comment>
    <comment ref="B13" authorId="0">
      <text>
        <r>
          <rPr>
            <sz val="10"/>
            <rFont val="Arial"/>
            <family val="2"/>
          </rPr>
          <t xml:space="preserve">Mã tự sinh theo quy tắc M-xxxxx (xem sheet KeHoach_ThuThap) — không đổi khi dự án đổi mã hợp đồng.</t>
        </r>
      </text>
    </comment>
    <comment ref="B14" authorId="0">
      <text>
        <r>
          <rPr>
            <sz val="10"/>
            <rFont val="Arial"/>
            <family val="2"/>
          </rPr>
          <t xml:space="preserve">Mã tự sinh theo quy tắc M-xxxxx (xem sheet KeHoach_ThuThap) — không đổi khi dự án đổi mã hợp đồng.</t>
        </r>
      </text>
    </comment>
    <comment ref="B15" authorId="0">
      <text>
        <r>
          <rPr>
            <sz val="10"/>
            <rFont val="Arial"/>
            <family val="2"/>
          </rPr>
          <t xml:space="preserve">Mã tự sinh theo quy tắc M-xxxxx (xem sheet KeHoach_ThuThap) — không đổi khi dự án đổi mã hợp đồng.</t>
        </r>
      </text>
    </comment>
    <comment ref="B16" authorId="0">
      <text>
        <r>
          <rPr>
            <sz val="10"/>
            <rFont val="Arial"/>
            <family val="2"/>
          </rPr>
          <t xml:space="preserve">Mã tự sinh theo quy tắc M-xxxxx (xem sheet KeHoach_ThuThap) — không đổi khi dự án đổi mã hợp đồng.</t>
        </r>
      </text>
    </comment>
    <comment ref="B17" authorId="0">
      <text>
        <r>
          <rPr>
            <sz val="10"/>
            <rFont val="Arial"/>
            <family val="2"/>
          </rPr>
          <t xml:space="preserve">Mã tự sinh theo quy tắc M-xxxxx (xem sheet KeHoach_ThuThap) — không đổi khi dự án đổi mã hợp đồng.</t>
        </r>
      </text>
    </comment>
    <comment ref="B18" authorId="0">
      <text>
        <r>
          <rPr>
            <sz val="10"/>
            <rFont val="Arial"/>
            <family val="2"/>
          </rPr>
          <t xml:space="preserve">Mã tự sinh theo quy tắc M-xxxxx (xem sheet KeHoach_ThuThap) — không đổi khi dự án đổi mã hợp đồng.</t>
        </r>
      </text>
    </comment>
    <comment ref="B19" authorId="0">
      <text>
        <r>
          <rPr>
            <sz val="10"/>
            <rFont val="Arial"/>
            <family val="2"/>
          </rPr>
          <t xml:space="preserve">Mã tự sinh theo quy tắc M-xxxxx (xem sheet KeHoach_ThuThap) — không đổi khi dự án đổi mã hợp đồng.</t>
        </r>
      </text>
    </comment>
    <comment ref="B20" authorId="0">
      <text>
        <r>
          <rPr>
            <sz val="10"/>
            <rFont val="Arial"/>
            <family val="2"/>
          </rPr>
          <t xml:space="preserve">Mã tự sinh theo quy tắc M-xxxxx (xem sheet KeHoach_ThuThap) — không đổi khi dự án đổi mã hợp đồng.</t>
        </r>
      </text>
    </comment>
    <comment ref="B21" authorId="0">
      <text>
        <r>
          <rPr>
            <sz val="10"/>
            <rFont val="Arial"/>
            <family val="2"/>
          </rPr>
          <t xml:space="preserve">Mã tự sinh theo quy tắc M-xxxxx (xem sheet KeHoach_ThuThap) — không đổi khi dự án đổi mã hợp đồng.</t>
        </r>
      </text>
    </comment>
    <comment ref="B22" authorId="0">
      <text>
        <r>
          <rPr>
            <sz val="10"/>
            <rFont val="Arial"/>
            <family val="2"/>
          </rPr>
          <t xml:space="preserve">Mã tự sinh theo quy tắc M-xxxxx (xem sheet KeHoach_ThuThap) — không đổi khi dự án đổi mã hợp đồng.</t>
        </r>
      </text>
    </comment>
    <comment ref="B23" authorId="0">
      <text>
        <r>
          <rPr>
            <sz val="10"/>
            <rFont val="Arial"/>
            <family val="2"/>
          </rPr>
          <t xml:space="preserve">Mã tự sinh theo quy tắc M-xxxxx (xem sheet KeHoach_ThuThap) — không đổi khi dự án đổi mã hợp đồng.</t>
        </r>
      </text>
    </comment>
    <comment ref="B24" authorId="0">
      <text>
        <r>
          <rPr>
            <sz val="10"/>
            <rFont val="Arial"/>
            <family val="2"/>
          </rPr>
          <t xml:space="preserve">Mã tự sinh theo quy tắc M-xxxxx (xem sheet KeHoach_ThuThap) — không đổi khi dự án đổi mã hợp đồng.</t>
        </r>
      </text>
    </comment>
    <comment ref="D9" authorId="0">
      <text>
        <r>
          <rPr>
            <sz val="10"/>
            <rFont val="Arial"/>
            <family val="2"/>
          </rPr>
          <t xml:space="preserve">NGHI VAN: ma nay trung trong CCM (4 dong, cung khach hang Vingroup, tong gia tri ~2.561 ty) nhung TEN HOP DONG CCM la 'CUNG CAP &amp; THI CONG LAP DUNG TRONG DONG', khac voi ten CNNV 'SVD Hung Vuong'. Co the la CUNG 1 du an duoc dat 2 ten noi bo khac nhau, hoac la 2 du an khac nhau bi trung ma do loi cap ma - CHUA the ket luan, KHONG tu dong ghep du lieu CCM cho dong nay. De nghi Truong phong KHDATT xac nhan lai qua Dim_Project_Alias.</t>
        </r>
      </text>
    </comment>
    <comment ref="D12" authorId="0">
      <text>
        <r>
          <rPr>
            <sz val="10"/>
            <rFont val="Arial"/>
            <family val="2"/>
          </rPr>
          <t xml:space="preserve">Nguồn: CCM.xlsx, mã đối chiếu TCTN.DNS.26.004. Khop ten + khach hang (Vingroup) -&gt; tin cay. Gia tri HD la HD GOC (chua tru PL); CCM con co 1 dong Phu luc (PL) ky 06/02/2026 dieu chinh giam ~144.1 ty - can cong don ca 2 dong de ra gia tri HD hieu luc cuoi cung, file nay moi dien dong HD goc.</t>
        </r>
      </text>
    </comment>
    <comment ref="D17" authorId="0">
      <text>
        <r>
          <rPr>
            <sz val="10"/>
            <rFont val="Arial"/>
            <family val="2"/>
          </rPr>
          <t xml:space="preserve">Nguồn: CCM.xlsx, mã đối chiếu TCTN.DNS.26.003. Khop ten + noi dung hop dong -&gt; tin cay, da dien Gia tri HD/Ngay ky/Thi truong/Team KD.</t>
        </r>
      </text>
    </comment>
    <comment ref="G12" authorId="0">
      <text>
        <r>
          <rPr>
            <sz val="10"/>
            <rFont val="Arial"/>
            <family val="2"/>
          </rPr>
          <t xml:space="preserve">Nguồn: CCM.xlsx, mã đối chiếu TCTN.DNS.26.004. Khop ten + khach hang (Vingroup) -&gt; tin cay. Gia tri HD la HD GOC (chua tru PL); CCM con co 1 dong Phu luc (PL) ky 06/02/2026 dieu chinh giam ~144.1 ty - can cong don ca 2 dong de ra gia tri HD hieu luc cuoi cung, file nay moi dien dong HD goc.</t>
        </r>
      </text>
    </comment>
    <comment ref="G17" authorId="0">
      <text>
        <r>
          <rPr>
            <sz val="10"/>
            <rFont val="Arial"/>
            <family val="2"/>
          </rPr>
          <t xml:space="preserve">Nguồn: CCM.xlsx, mã đối chiếu TCTN.DNS.26.003. Khop ten + noi dung hop dong -&gt; tin cay, da dien Gia tri HD/Ngay ky/Thi truong/Team KD.</t>
        </r>
      </text>
    </comment>
    <comment ref="I8" authorId="0">
      <text>
        <r>
          <rPr>
            <sz val="10"/>
            <rFont val="Arial"/>
            <family val="2"/>
          </rPr>
          <t xml:space="preserve">Suy luận tự động từ tên dự án — PM/Trưởng phòng xác nhận lại trước khi dùng làm dropdown chính thức.</t>
        </r>
      </text>
    </comment>
    <comment ref="I9" authorId="0">
      <text>
        <r>
          <rPr>
            <sz val="10"/>
            <rFont val="Arial"/>
            <family val="2"/>
          </rPr>
          <t xml:space="preserve">Suy luận tự động từ tên dự án — PM/Trưởng phòng xác nhận lại trước khi dùng làm dropdown chính thức.</t>
        </r>
      </text>
    </comment>
    <comment ref="I10" authorId="0">
      <text>
        <r>
          <rPr>
            <sz val="10"/>
            <rFont val="Arial"/>
            <family val="2"/>
          </rPr>
          <t xml:space="preserve">Không đủ căn cứ để suy luận từ tên dự án — cần PM xác nhận loại hình.</t>
        </r>
      </text>
    </comment>
    <comment ref="I11" authorId="0">
      <text>
        <r>
          <rPr>
            <sz val="10"/>
            <rFont val="Arial"/>
            <family val="2"/>
          </rPr>
          <t xml:space="preserve">Suy luận tự động từ tên dự án — PM/Trưởng phòng xác nhận lại trước khi dùng làm dropdown chính thức.</t>
        </r>
      </text>
    </comment>
    <comment ref="I12" authorId="0">
      <text>
        <r>
          <rPr>
            <sz val="10"/>
            <rFont val="Arial"/>
            <family val="2"/>
          </rPr>
          <t xml:space="preserve">Không đủ căn cứ để suy luận từ tên dự án — cần PM xác nhận loại hình.</t>
        </r>
      </text>
    </comment>
    <comment ref="I13" authorId="0">
      <text>
        <r>
          <rPr>
            <sz val="10"/>
            <rFont val="Arial"/>
            <family val="2"/>
          </rPr>
          <t xml:space="preserve">Suy luận tự động từ tên dự án — PM/Trưởng phòng xác nhận lại trước khi dùng làm dropdown chính thức.</t>
        </r>
      </text>
    </comment>
    <comment ref="I14" authorId="0">
      <text>
        <r>
          <rPr>
            <sz val="10"/>
            <rFont val="Arial"/>
            <family val="2"/>
          </rPr>
          <t xml:space="preserve">Suy luận tự động từ tên dự án — PM/Trưởng phòng xác nhận lại trước khi dùng làm dropdown chính thức.</t>
        </r>
      </text>
    </comment>
    <comment ref="I15" authorId="0">
      <text>
        <r>
          <rPr>
            <sz val="10"/>
            <rFont val="Arial"/>
            <family val="2"/>
          </rPr>
          <t xml:space="preserve">Suy luận tự động từ tên dự án — PM/Trưởng phòng xác nhận lại trước khi dùng làm dropdown chính thức.</t>
        </r>
      </text>
    </comment>
    <comment ref="I16" authorId="0">
      <text>
        <r>
          <rPr>
            <sz val="10"/>
            <rFont val="Arial"/>
            <family val="2"/>
          </rPr>
          <t xml:space="preserve">Suy luận tự động từ tên dự án — PM/Trưởng phòng xác nhận lại trước khi dùng làm dropdown chính thức.</t>
        </r>
      </text>
    </comment>
    <comment ref="I17" authorId="0">
      <text>
        <r>
          <rPr>
            <sz val="10"/>
            <rFont val="Arial"/>
            <family val="2"/>
          </rPr>
          <t xml:space="preserve">Không đủ căn cứ để suy luận từ tên dự án — cần PM xác nhận loại hình.</t>
        </r>
      </text>
    </comment>
    <comment ref="I18" authorId="0">
      <text>
        <r>
          <rPr>
            <sz val="10"/>
            <rFont val="Arial"/>
            <family val="2"/>
          </rPr>
          <t xml:space="preserve">Suy luận tự động từ tên dự án — PM/Trưởng phòng xác nhận lại trước khi dùng làm dropdown chính thức.</t>
        </r>
      </text>
    </comment>
    <comment ref="I19" authorId="0">
      <text>
        <r>
          <rPr>
            <sz val="10"/>
            <rFont val="Arial"/>
            <family val="2"/>
          </rPr>
          <t xml:space="preserve">Suy luận tự động từ tên dự án — PM/Trưởng phòng xác nhận lại trước khi dùng làm dropdown chính thức.</t>
        </r>
      </text>
    </comment>
    <comment ref="I20" authorId="0">
      <text>
        <r>
          <rPr>
            <sz val="10"/>
            <rFont val="Arial"/>
            <family val="2"/>
          </rPr>
          <t xml:space="preserve">Suy luận tự động từ tên dự án — PM/Trưởng phòng xác nhận lại trước khi dùng làm dropdown chính thức.</t>
        </r>
      </text>
    </comment>
    <comment ref="I21" authorId="0">
      <text>
        <r>
          <rPr>
            <sz val="10"/>
            <rFont val="Arial"/>
            <family val="2"/>
          </rPr>
          <t xml:space="preserve">Suy luận tự động từ tên dự án — PM/Trưởng phòng xác nhận lại trước khi dùng làm dropdown chính thức.</t>
        </r>
      </text>
    </comment>
    <comment ref="I22" authorId="0">
      <text>
        <r>
          <rPr>
            <sz val="10"/>
            <rFont val="Arial"/>
            <family val="2"/>
          </rPr>
          <t xml:space="preserve">Suy luận tự động từ tên dự án — PM/Trưởng phòng xác nhận lại trước khi dùng làm dropdown chính thức.</t>
        </r>
      </text>
    </comment>
    <comment ref="I23" authorId="0">
      <text>
        <r>
          <rPr>
            <sz val="10"/>
            <rFont val="Arial"/>
            <family val="2"/>
          </rPr>
          <t xml:space="preserve">Suy luận tự động từ tên dự án — PM/Trưởng phòng xác nhận lại trước khi dùng làm dropdown chính thức.</t>
        </r>
      </text>
    </comment>
    <comment ref="I24" authorId="0">
      <text>
        <r>
          <rPr>
            <sz val="10"/>
            <rFont val="Arial"/>
            <family val="2"/>
          </rPr>
          <t xml:space="preserve">Suy luận tự động từ tên dự án — PM/Trưởng phòng xác nhận lại trước khi dùng làm dropdown chính thức.</t>
        </r>
      </text>
    </comment>
    <comment ref="J8" authorId="0">
      <text>
        <r>
          <rPr>
            <sz val="10"/>
            <rFont val="Arial"/>
            <family val="2"/>
          </rPr>
          <t xml:space="preserve">Suy luận từ tên khách hàng/dự án (yếu tố nước ngoài) — cần xác nhận lại, trừ 2 dòng có nguồn CCM xác thực.</t>
        </r>
      </text>
    </comment>
    <comment ref="J9" authorId="0">
      <text>
        <r>
          <rPr>
            <sz val="10"/>
            <rFont val="Arial"/>
            <family val="2"/>
          </rPr>
          <t xml:space="preserve">Suy luận từ tên khách hàng/dự án (yếu tố nước ngoài) — cần xác nhận lại, trừ 2 dòng có nguồn CCM xác thực.</t>
        </r>
      </text>
    </comment>
    <comment ref="J10" authorId="0">
      <text>
        <r>
          <rPr>
            <sz val="10"/>
            <rFont val="Arial"/>
            <family val="2"/>
          </rPr>
          <t xml:space="preserve">Suy luận từ tên khách hàng/dự án (yếu tố nước ngoài) — cần xác nhận lại, trừ 2 dòng có nguồn CCM xác thực.</t>
        </r>
      </text>
    </comment>
    <comment ref="J11" authorId="0">
      <text>
        <r>
          <rPr>
            <sz val="10"/>
            <rFont val="Arial"/>
            <family val="2"/>
          </rPr>
          <t xml:space="preserve">Suy luận từ tên khách hàng/dự án (yếu tố nước ngoài) — cần xác nhận lại, trừ 2 dòng có nguồn CCM xác thực.</t>
        </r>
      </text>
    </comment>
    <comment ref="J12" authorId="0">
      <text>
        <r>
          <rPr>
            <sz val="10"/>
            <rFont val="Arial"/>
            <family val="2"/>
          </rPr>
          <t xml:space="preserve">Nguồn: CCM.xlsx, mã đối chiếu TCTN.DNS.26.004. Khop ten + khach hang (Vingroup) -&gt; tin cay. Gia tri HD la HD GOC (chua tru PL); CCM con co 1 dong Phu luc (PL) ky 06/02/2026 dieu chinh giam ~144.1 ty - can cong don ca 2 dong de ra gia tri HD hieu luc cuoi cung, file nay moi dien dong HD goc.</t>
        </r>
      </text>
    </comment>
    <comment ref="J13" authorId="0">
      <text>
        <r>
          <rPr>
            <sz val="10"/>
            <rFont val="Arial"/>
            <family val="2"/>
          </rPr>
          <t xml:space="preserve">Suy luận từ tên khách hàng/dự án (yếu tố nước ngoài) — cần xác nhận lại, trừ 2 dòng có nguồn CCM xác thực.</t>
        </r>
      </text>
    </comment>
    <comment ref="J14" authorId="0">
      <text>
        <r>
          <rPr>
            <sz val="10"/>
            <rFont val="Arial"/>
            <family val="2"/>
          </rPr>
          <t xml:space="preserve">Suy luận từ tên khách hàng/dự án (yếu tố nước ngoài) — cần xác nhận lại, trừ 2 dòng có nguồn CCM xác thực.</t>
        </r>
      </text>
    </comment>
    <comment ref="J15" authorId="0">
      <text>
        <r>
          <rPr>
            <sz val="10"/>
            <rFont val="Arial"/>
            <family val="2"/>
          </rPr>
          <t xml:space="preserve">Suy luận từ tên khách hàng/dự án (yếu tố nước ngoài) — cần xác nhận lại, trừ 2 dòng có nguồn CCM xác thực.</t>
        </r>
      </text>
    </comment>
    <comment ref="J16" authorId="0">
      <text>
        <r>
          <rPr>
            <sz val="10"/>
            <rFont val="Arial"/>
            <family val="2"/>
          </rPr>
          <t xml:space="preserve">Suy luận từ tên khách hàng/dự án (yếu tố nước ngoài) — cần xác nhận lại, trừ 2 dòng có nguồn CCM xác thực.</t>
        </r>
      </text>
    </comment>
    <comment ref="J17" authorId="0">
      <text>
        <r>
          <rPr>
            <sz val="10"/>
            <rFont val="Arial"/>
            <family val="2"/>
          </rPr>
          <t xml:space="preserve">Nguồn: CCM.xlsx, mã đối chiếu TCTN.DNS.26.003. Khop ten + noi dung hop dong -&gt; tin cay, da dien Gia tri HD/Ngay ky/Thi truong/Team KD.</t>
        </r>
      </text>
    </comment>
    <comment ref="J18" authorId="0">
      <text>
        <r>
          <rPr>
            <sz val="10"/>
            <rFont val="Arial"/>
            <family val="2"/>
          </rPr>
          <t xml:space="preserve">Suy luận từ tên khách hàng/dự án (yếu tố nước ngoài) — cần xác nhận lại, trừ 2 dòng có nguồn CCM xác thực.</t>
        </r>
      </text>
    </comment>
    <comment ref="J19" authorId="0">
      <text>
        <r>
          <rPr>
            <sz val="10"/>
            <rFont val="Arial"/>
            <family val="2"/>
          </rPr>
          <t xml:space="preserve">Suy luận từ tên khách hàng/dự án (yếu tố nước ngoài) — cần xác nhận lại, trừ 2 dòng có nguồn CCM xác thực.</t>
        </r>
      </text>
    </comment>
    <comment ref="J20" authorId="0">
      <text>
        <r>
          <rPr>
            <sz val="10"/>
            <rFont val="Arial"/>
            <family val="2"/>
          </rPr>
          <t xml:space="preserve">Suy luận từ tên khách hàng/dự án (yếu tố nước ngoài) — cần xác nhận lại, trừ 2 dòng có nguồn CCM xác thực.</t>
        </r>
      </text>
    </comment>
    <comment ref="J21" authorId="0">
      <text>
        <r>
          <rPr>
            <sz val="10"/>
            <rFont val="Arial"/>
            <family val="2"/>
          </rPr>
          <t xml:space="preserve">Suy luận từ tên khách hàng/dự án (yếu tố nước ngoài) — cần xác nhận lại, trừ 2 dòng có nguồn CCM xác thực.</t>
        </r>
      </text>
    </comment>
    <comment ref="J22" authorId="0">
      <text>
        <r>
          <rPr>
            <sz val="10"/>
            <rFont val="Arial"/>
            <family val="2"/>
          </rPr>
          <t xml:space="preserve">Suy luận từ tên khách hàng/dự án (yếu tố nước ngoài) — cần xác nhận lại, trừ 2 dòng có nguồn CCM xác thực.</t>
        </r>
      </text>
    </comment>
    <comment ref="J23" authorId="0">
      <text>
        <r>
          <rPr>
            <sz val="10"/>
            <rFont val="Arial"/>
            <family val="2"/>
          </rPr>
          <t xml:space="preserve">Suy luận từ tên khách hàng/dự án (yếu tố nước ngoài) — cần xác nhận lại, trừ 2 dòng có nguồn CCM xác thực.</t>
        </r>
      </text>
    </comment>
    <comment ref="J24" authorId="0">
      <text>
        <r>
          <rPr>
            <sz val="10"/>
            <rFont val="Arial"/>
            <family val="2"/>
          </rPr>
          <t xml:space="preserve">Suy luận từ tên khách hàng/dự án (yếu tố nước ngoài) — cần xác nhận lại, trừ 2 dòng có nguồn CCM xác thực.</t>
        </r>
      </text>
    </comment>
    <comment ref="K8"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9"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10"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11"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12"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13"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14"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15"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16"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17"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18"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19"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20"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21"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22"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23"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K24" authorId="0">
      <text>
        <r>
          <rPr>
            <sz val="10"/>
            <rFont val="Arial"/>
            <family val="2"/>
          </rPr>
          <t xml:space="preserve">Suy luận mặc định (đa số = Đang triển khai vì đã có Ngày bắt đầu thực tế) — Trưởng phòng xác nhận lại nếu có dự án đã Hoàn thành/Tạm dừng.</t>
        </r>
      </text>
    </comment>
    <comment ref="R8"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9"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10"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11"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12"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13"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14"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15"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16"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17"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18"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19"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20"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21"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22"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23"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R24" authorId="0">
      <text>
        <r>
          <rPr>
            <sz val="10"/>
            <rFont val="Arial"/>
            <family val="2"/>
          </rPr>
          <t xml:space="preserve">Công thức tự tính: "Có" khi Trạng thái=Đang triển khai, %TT&lt;100%, chưa Đã bị phạt, và (Ngày cam kết bàn giao − hôm nay) ≤ 30 ngày. Hiện luôn hiện trống vì cột "Ngày cam kết bàn giao" chưa có dữ liệu — công thức sẽ tự chạy đúng ngay khi PM điền cột đó.</t>
        </r>
      </text>
    </comment>
    <comment ref="S12" authorId="0">
      <text>
        <r>
          <rPr>
            <sz val="10"/>
            <rFont val="Arial"/>
            <family val="2"/>
          </rPr>
          <t xml:space="preserve">Nguồn: CCM.xlsx, mã đối chiếu TCTN.DNS.26.004. Khop ten + khach hang (Vingroup) -&gt; tin cay. Gia tri HD la HD GOC (chua tru PL); CCM con co 1 dong Phu luc (PL) ky 06/02/2026 dieu chinh giam ~144.1 ty - can cong don ca 2 dong de ra gia tri HD hieu luc cuoi cung, file nay moi dien dong HD goc.</t>
        </r>
      </text>
    </comment>
    <comment ref="S17" authorId="0">
      <text>
        <r>
          <rPr>
            <sz val="10"/>
            <rFont val="Arial"/>
            <family val="2"/>
          </rPr>
          <t xml:space="preserve">Nguồn: CCM.xlsx, mã đối chiếu TCTN.DNS.26.003. Khop ten + noi dung hop dong -&gt; tin cay, da dien Gia tri HD/Ngay ky/Thi truong/Team KD.</t>
        </r>
      </text>
    </comment>
    <comment ref="T12" authorId="0">
      <text>
        <r>
          <rPr>
            <sz val="10"/>
            <rFont val="Arial"/>
            <family val="2"/>
          </rPr>
          <t xml:space="preserve">Nguồn: CCM.xlsx, mã đối chiếu TCTN.DNS.26.004. Khop ten + khach hang (Vingroup) -&gt; tin cay. Gia tri HD la HD GOC (chua tru PL); CCM con co 1 dong Phu luc (PL) ky 06/02/2026 dieu chinh giam ~144.1 ty - can cong don ca 2 dong de ra gia tri HD hieu luc cuoi cung, file nay moi dien dong HD goc.</t>
        </r>
      </text>
    </comment>
    <comment ref="T17" authorId="0">
      <text>
        <r>
          <rPr>
            <sz val="10"/>
            <rFont val="Arial"/>
            <family val="2"/>
          </rPr>
          <t xml:space="preserve">Nguồn: CCM.xlsx, mã đối chiếu TCTN.DNS.26.003. Khop ten + noi dung hop dong -&gt; tin cay, da dien Gia tri HD/Ngay ky/Thi truong/Team KD.</t>
        </r>
      </text>
    </comment>
  </commentList>
</comments>
</file>

<file path=xl/sharedStrings.xml><?xml version="1.0" encoding="utf-8"?>
<sst xmlns="http://schemas.openxmlformats.org/spreadsheetml/2006/main" count="258" uniqueCount="180">
  <si>
    <t xml:space="preserve">MASTER DATA </t>
  </si>
  <si>
    <t xml:space="preserve">Chú giải màu cột:</t>
  </si>
  <si>
    <t xml:space="preserve">  </t>
  </si>
  <si>
    <t xml:space="preserve">CCM.xlsx (Sheet1) — đã có sẵn</t>
  </si>
  <si>
    <t xml:space="preserve">CNNV "Danh mục dự án" — đã có sẵn</t>
  </si>
  <si>
    <t xml:space="preserve">Có một phần / cần đối chiếu, chuẩn hoá thêm</t>
  </si>
  <si>
    <t xml:space="preserve">MỚI hoàn toàn — chưa có nguồn, cần thu thập</t>
  </si>
  <si>
    <t xml:space="preserve">Ghi chú phương pháp: 17 dự án dưới đây là TOÀN BỘ dữ liệu thật hiện có trong CNNV "Danh mục dự án" (không phải số liệu minh hoạ). Chỉ ghép dữ liệu CCM.xlsx cho 2 dự án có căn cứ tin cậy (tên + khách hàng khớp khớp nội dung hợp đồng) — xem cột "Mã Alias/CCM" để biết chi tiết đối chiếu; KHÔNG tự động ghép hàng loạt vì CCM và CNNV hiện dùng 2 kiểu mã dự án khác nhau (xem sheet KeHoach_ThuThap, mục Dim_Project_Alias).</t>
  </si>
  <si>
    <t xml:space="preserve">Đã phát hiện 1 trường hợp mã dự án bị TRÙNG giữa 2 nguồn nhưng nội dung KHÔNG khớp rõ ràng (dòng "10626-051" — SVĐ Hùng Vương) — xem comment tại ô Mã Alias dòng đó. Đây là bằng chứng thực tế cho thấy cần chuẩn hoá 1 kiểu mã duy nhất trước khi build Power BI.</t>
  </si>
  <si>
    <t xml:space="preserve">Các ô có tam giác đỏ góc phải là ô có ghi chú (comment) giải thích nguồn/độ tin cậy/giả định — rê chuột để xem.</t>
  </si>
  <si>
    <t xml:space="preserve">STT</t>
  </si>
  <si>
    <t xml:space="preserve">Master_ID</t>
  </si>
  <si>
    <t xml:space="preserve">Mã dự án hiện tại</t>
  </si>
  <si>
    <t xml:space="preserve">Mã Alias/CCM (lịch sử đổi mã)</t>
  </si>
  <si>
    <t xml:space="preserve">Tên dự án</t>
  </si>
  <si>
    <t xml:space="preserve">Khách hàng / Chủ đầu tư</t>
  </si>
  <si>
    <t xml:space="preserve">Team KD</t>
  </si>
  <si>
    <t xml:space="preserve">Priority</t>
  </si>
  <si>
    <t xml:space="preserve">Loại hình dự án</t>
  </si>
  <si>
    <t xml:space="preserve">Thị trường (TN/XK)</t>
  </si>
  <si>
    <t xml:space="preserve">Trạng thái DA (chuẩn 4 nhóm)</t>
  </si>
  <si>
    <t xml:space="preserve">Giai đoạn hiện tại (khâu đang thi công)</t>
  </si>
  <si>
    <t xml:space="preserve">Ngày bắt đầu (thực tế)</t>
  </si>
  <si>
    <t xml:space="preserve">Ngày BĐ Kế hoạch (baseline)</t>
  </si>
  <si>
    <t xml:space="preserve">Ngày KH hoàn thành (toàn dự án)</t>
  </si>
  <si>
    <t xml:space="preserve">Ngày cam kết bàn giao (mốc phạt HĐ)</t>
  </si>
  <si>
    <t xml:space="preserve">Đã bị phạt HĐ?</t>
  </si>
  <si>
    <t xml:space="preserve">Nguy cơ phạt HĐ (≤30 ngày, tự tính)</t>
  </si>
  <si>
    <t xml:space="preserve">Ngày ký HĐ</t>
  </si>
  <si>
    <t xml:space="preserve">Giá trị HĐ (tỷ VNĐ)</t>
  </si>
  <si>
    <t xml:space="preserve">Khối lượng (tấn)</t>
  </si>
  <si>
    <t xml:space="preserve">% HT Shop</t>
  </si>
  <si>
    <t xml:space="preserve">% HT Vật tư</t>
  </si>
  <si>
    <t xml:space="preserve">% HT Gia công</t>
  </si>
  <si>
    <t xml:space="preserve">% HT Tập kết</t>
  </si>
  <si>
    <t xml:space="preserve">% HT Lắp dựng</t>
  </si>
  <si>
    <t xml:space="preserve">% HT Nghiệm thu</t>
  </si>
  <si>
    <t xml:space="preserve">BAC (tỷ VNĐ)</t>
  </si>
  <si>
    <t xml:space="preserve">% KH lũy kế</t>
  </si>
  <si>
    <t xml:space="preserve">% TT lũy kế</t>
  </si>
  <si>
    <t xml:space="preserve">AC lũy kế (tỷ VNĐ)</t>
  </si>
  <si>
    <t xml:space="preserve">PV (tỷ)</t>
  </si>
  <si>
    <t xml:space="preserve">EV (tỷ)</t>
  </si>
  <si>
    <t xml:space="preserve">SPI</t>
  </si>
  <si>
    <t xml:space="preserve">CPI</t>
  </si>
  <si>
    <t xml:space="preserve">EAC (tỷ)</t>
  </si>
  <si>
    <t xml:space="preserve">VAC (tỷ)</t>
  </si>
  <si>
    <t xml:space="preserve">Mức rủi ro (CNNV)</t>
  </si>
  <si>
    <t xml:space="preserve">Trạng thái tổng thể (CNNV)</t>
  </si>
  <si>
    <t xml:space="preserve">Backlog dự án (tỷ)</t>
  </si>
  <si>
    <t xml:space="preserve">Công nợ quá hạn dự án (tỷ)</t>
  </si>
  <si>
    <t xml:space="preserve">Doanh thu ghi nhận lũy kế (tỷ)</t>
  </si>
  <si>
    <t xml:space="preserve">Công nợ đã thu (tỷ)</t>
  </si>
  <si>
    <t xml:space="preserve">Công nợ chưa thu (tỷ)</t>
  </si>
  <si>
    <t xml:space="preserve">Ghi chú</t>
  </si>
  <si>
    <t xml:space="preserve">M-00001</t>
  </si>
  <si>
    <t xml:space="preserve">10626-008</t>
  </si>
  <si>
    <t xml:space="preserve">SVĐ PVF</t>
  </si>
  <si>
    <t xml:space="preserve">VinGroup</t>
  </si>
  <si>
    <t xml:space="preserve">Sân vận động</t>
  </si>
  <si>
    <t xml:space="preserve">TN</t>
  </si>
  <si>
    <t xml:space="preserve">Đang triển khai</t>
  </si>
  <si>
    <t xml:space="preserve">Lắp dựng</t>
  </si>
  <si>
    <t xml:space="preserve">Cao</t>
  </si>
  <si>
    <t xml:space="preserve">Cần theo dõi</t>
  </si>
  <si>
    <t xml:space="preserve">M-00002</t>
  </si>
  <si>
    <t xml:space="preserve">10626-051</t>
  </si>
  <si>
    <t xml:space="preserve">SVĐ Hùng Vương</t>
  </si>
  <si>
    <t xml:space="preserve">Gia công</t>
  </si>
  <si>
    <t xml:space="preserve">M-00003</t>
  </si>
  <si>
    <t xml:space="preserve">10625-036</t>
  </si>
  <si>
    <t xml:space="preserve">Apec S3</t>
  </si>
  <si>
    <t xml:space="preserve">SunGroup </t>
  </si>
  <si>
    <t xml:space="preserve">01/06/2026</t>
  </si>
  <si>
    <t xml:space="preserve">31/12/2027</t>
  </si>
  <si>
    <t xml:space="preserve">Thấp</t>
  </si>
  <si>
    <t xml:space="preserve">M-00004</t>
  </si>
  <si>
    <t xml:space="preserve">10625-030</t>
  </si>
  <si>
    <t xml:space="preserve">Sân bay Phú Quốc T2</t>
  </si>
  <si>
    <t xml:space="preserve">Sân bay</t>
  </si>
  <si>
    <t xml:space="preserve">Nghiệm thu</t>
  </si>
  <si>
    <t xml:space="preserve">01/04/2026</t>
  </si>
  <si>
    <t xml:space="preserve">30/09/2027</t>
  </si>
  <si>
    <t xml:space="preserve">Trung bình</t>
  </si>
  <si>
    <t xml:space="preserve">M-00005</t>
  </si>
  <si>
    <t xml:space="preserve">TCTN.DNS.26.004</t>
  </si>
  <si>
    <t xml:space="preserve">04-26/HĐTC-DDC NS</t>
  </si>
  <si>
    <t xml:space="preserve">ĐƯỜNG CAO TỐC VIN</t>
  </si>
  <si>
    <t xml:space="preserve">P. KD 03 - Trương Xuân Cơ</t>
  </si>
  <si>
    <t xml:space="preserve">26/11/2025</t>
  </si>
  <si>
    <t xml:space="preserve">M-00006</t>
  </si>
  <si>
    <t xml:space="preserve">10625-031</t>
  </si>
  <si>
    <t xml:space="preserve">Cầu Đi Bộ (Gói 2)</t>
  </si>
  <si>
    <t xml:space="preserve">Nutifood</t>
  </si>
  <si>
    <t xml:space="preserve">Cầu (giao thông) — CHƯA có trong danh mục Loại hình hiện tại, cần bổ sung</t>
  </si>
  <si>
    <t xml:space="preserve">M-00007</t>
  </si>
  <si>
    <t xml:space="preserve">10625-045</t>
  </si>
  <si>
    <t xml:space="preserve">Cầu Mỹ Thủy (NAM ANH)</t>
  </si>
  <si>
    <t xml:space="preserve">Ban Giao thông</t>
  </si>
  <si>
    <t xml:space="preserve">M-00008</t>
  </si>
  <si>
    <t xml:space="preserve">10624-015</t>
  </si>
  <si>
    <t xml:space="preserve">Cầu Ống Lồng</t>
  </si>
  <si>
    <t xml:space="preserve">ACV</t>
  </si>
  <si>
    <t xml:space="preserve">M-00009</t>
  </si>
  <si>
    <t xml:space="preserve">10625-028</t>
  </si>
  <si>
    <t xml:space="preserve">VINFAST VŨNG ÁNG (NHÀ MÁY 3)</t>
  </si>
  <si>
    <t xml:space="preserve">Vinhomes Hà Tĩnh</t>
  </si>
  <si>
    <t xml:space="preserve">Nhà xưởng</t>
  </si>
  <si>
    <t xml:space="preserve">M-00010</t>
  </si>
  <si>
    <t xml:space="preserve">TCTN.DNS.26.003</t>
  </si>
  <si>
    <t xml:space="preserve">03-26/HĐTC-DDC NS</t>
  </si>
  <si>
    <t xml:space="preserve">PEPSICO</t>
  </si>
  <si>
    <t xml:space="preserve">Pepsico Viet Nam</t>
  </si>
  <si>
    <t xml:space="preserve">P. KD 05 - Nguyễn Trí Nhiên</t>
  </si>
  <si>
    <t xml:space="preserve">21/11/2025</t>
  </si>
  <si>
    <t xml:space="preserve">M-00011</t>
  </si>
  <si>
    <t xml:space="preserve">10725-003</t>
  </si>
  <si>
    <t xml:space="preserve">EVAPCO_BISON (TEEL STRUCTURE)</t>
  </si>
  <si>
    <t xml:space="preserve">Evapco</t>
  </si>
  <si>
    <t xml:space="preserve">EPC (kết cấu thép XK)</t>
  </si>
  <si>
    <t xml:space="preserve">XK</t>
  </si>
  <si>
    <t xml:space="preserve">M-00012</t>
  </si>
  <si>
    <t xml:space="preserve">10725-007</t>
  </si>
  <si>
    <t xml:space="preserve">EVAPCO_BISON (DUCTING)</t>
  </si>
  <si>
    <t xml:space="preserve">M-00013</t>
  </si>
  <si>
    <t xml:space="preserve">10725-008</t>
  </si>
  <si>
    <t xml:space="preserve">EVAPCO_GREGORY </t>
  </si>
  <si>
    <t xml:space="preserve">M-00014</t>
  </si>
  <si>
    <t xml:space="preserve">10725-009</t>
  </si>
  <si>
    <t xml:space="preserve">VIOLA, KANSAS (STEEL STRUCTURE)</t>
  </si>
  <si>
    <t xml:space="preserve">M-00015</t>
  </si>
  <si>
    <t xml:space="preserve">10725-011</t>
  </si>
  <si>
    <t xml:space="preserve">VIOLA, KANSAS (DUCTING)</t>
  </si>
  <si>
    <t xml:space="preserve">M-00016</t>
  </si>
  <si>
    <t xml:space="preserve">10725-006</t>
  </si>
  <si>
    <t xml:space="preserve">MOMBASA JACKETS PROJECT</t>
  </si>
  <si>
    <t xml:space="preserve">JFE</t>
  </si>
  <si>
    <t xml:space="preserve">M-00017</t>
  </si>
  <si>
    <t xml:space="preserve">12626-023</t>
  </si>
  <si>
    <t xml:space="preserve">SÂN BAY QUẢNG TRỊ </t>
  </si>
  <si>
    <t xml:space="preserve">CTy CHK Quảng Trị</t>
  </si>
  <si>
    <t xml:space="preserve">Chuẩn bị triển khai</t>
  </si>
  <si>
    <t xml:space="preserve">Danh sách chuẩn dùng cho Data Validation (KHÔNG xoá/đổi tên sheet này)</t>
  </si>
  <si>
    <t xml:space="preserve">LoaiHinh</t>
  </si>
  <si>
    <t xml:space="preserve">TrangThaiDA</t>
  </si>
  <si>
    <t xml:space="preserve">ThiTruong</t>
  </si>
  <si>
    <t xml:space="preserve">CoKhong</t>
  </si>
  <si>
    <t xml:space="preserve">TeamKD</t>
  </si>
  <si>
    <t xml:space="preserve">P0 - Trọng yếu</t>
  </si>
  <si>
    <t xml:space="preserve">EPC</t>
  </si>
  <si>
    <t xml:space="preserve">Có</t>
  </si>
  <si>
    <t xml:space="preserve">P.KD 01</t>
  </si>
  <si>
    <t xml:space="preserve">P1 - Lớn</t>
  </si>
  <si>
    <t xml:space="preserve">Không</t>
  </si>
  <si>
    <t xml:space="preserve">P.KD 03</t>
  </si>
  <si>
    <t xml:space="preserve">P2 - Bình thường</t>
  </si>
  <si>
    <t xml:space="preserve">Hoàn thành</t>
  </si>
  <si>
    <t xml:space="preserve">P.KD 04</t>
  </si>
  <si>
    <t xml:space="preserve">P3 - Nội bộ</t>
  </si>
  <si>
    <t xml:space="preserve">Tạm dừng</t>
  </si>
  <si>
    <t xml:space="preserve">P.KD 05</t>
  </si>
  <si>
    <t xml:space="preserve">Cầu cảng</t>
  </si>
  <si>
    <t xml:space="preserve">P.KD 06</t>
  </si>
  <si>
    <t xml:space="preserve">Cao tầng</t>
  </si>
  <si>
    <t xml:space="preserve">P.KD 08</t>
  </si>
  <si>
    <t xml:space="preserve">Đóng tàu</t>
  </si>
  <si>
    <t xml:space="preserve">P.KD 09</t>
  </si>
  <si>
    <t xml:space="preserve">Cầu (giao thông) - MỚI phát hiện, cần bổ sung</t>
  </si>
  <si>
    <t xml:space="preserve">P.KD EPC</t>
  </si>
  <si>
    <t xml:space="preserve">Khác</t>
  </si>
  <si>
    <t xml:space="preserve">Công trình nội bộ</t>
  </si>
  <si>
    <t xml:space="preserve">Khác (ghi rõ trong Ghi chú)</t>
  </si>
  <si>
    <t xml:space="preserve">LOG_CASE — LỊCH SỬ SNAPSHOT THEO THÁNG (nguồn vẽ biểu đồ xu hướng EVM/rủi ro)</t>
  </si>
  <si>
    <t xml:space="preserve">Tháng</t>
  </si>
  <si>
    <t xml:space="preserve">Tổng số DA</t>
  </si>
  <si>
    <t xml:space="preserve">Đúng tiến độ</t>
  </si>
  <si>
    <t xml:space="preserve">Trễ tiến độ</t>
  </si>
  <si>
    <t xml:space="preserve">Có nguy cơ phạt HĐ</t>
  </si>
  <si>
    <t xml:space="preserve">Đã bị phạt HĐ</t>
  </si>
  <si>
    <t xml:space="preserve">Ghi chú: Dòng "(tự động - hiện tại)" LUÔN tính lại theo dữ liệu mới nhất trong sheet MasterData — không tự sửa tay dòng này. Cuối mỗi kỳ báo cáo: bôi đen dòng hiện tại → Copy → Paste Values (Ctrl+Shift+V) vào 1 dòng MỚI phía trên (không đè lên dòng tự động), để lưu lại đúng số liệu của tháng đó làm lịch sử vẽ xu hướng (matches cách sheet LichSuThang cũ đang làm). Cột "Có nguy cơ phạt HĐ"/"Đã bị phạt HĐ" hiện = 0 vì 2 cột nguồn tương ứng trong MasterData (Ngày cam kết bàn giao, Đã bị phạt HĐ?) chưa được PM điền — xem sheet KeHoach_ThuThap.</t>
  </si>
</sst>
</file>

<file path=xl/styles.xml><?xml version="1.0" encoding="utf-8"?>
<styleSheet xmlns="http://schemas.openxmlformats.org/spreadsheetml/2006/main">
  <numFmts count="8">
    <numFmt numFmtId="164" formatCode="General"/>
    <numFmt numFmtId="165" formatCode="0"/>
    <numFmt numFmtId="166" formatCode="@"/>
    <numFmt numFmtId="167" formatCode="dd/mm/yyyy"/>
    <numFmt numFmtId="168" formatCode="#,##0.0"/>
    <numFmt numFmtId="169" formatCode="#,##0"/>
    <numFmt numFmtId="170" formatCode="0.0%"/>
    <numFmt numFmtId="171" formatCode="0.00"/>
  </numFmts>
  <fonts count="12">
    <font>
      <sz val="11"/>
      <color theme="1"/>
      <name val="Calibri"/>
      <family val="0"/>
      <charset val="1"/>
    </font>
    <font>
      <sz val="10"/>
      <name val="Arial"/>
      <family val="0"/>
    </font>
    <font>
      <sz val="10"/>
      <name val="Arial"/>
      <family val="0"/>
    </font>
    <font>
      <sz val="10"/>
      <name val="Arial"/>
      <family val="0"/>
    </font>
    <font>
      <b val="true"/>
      <sz val="13"/>
      <color rgb="FF123C52"/>
      <name val="Times New Roman"/>
      <family val="0"/>
      <charset val="1"/>
    </font>
    <font>
      <b val="true"/>
      <sz val="10"/>
      <color theme="1"/>
      <name val="Times New Roman"/>
      <family val="0"/>
      <charset val="1"/>
    </font>
    <font>
      <i val="true"/>
      <sz val="9"/>
      <color theme="1"/>
      <name val="Times New Roman"/>
      <family val="0"/>
      <charset val="1"/>
    </font>
    <font>
      <i val="true"/>
      <sz val="9"/>
      <color rgb="FF6B7280"/>
      <name val="Times New Roman"/>
      <family val="0"/>
      <charset val="1"/>
    </font>
    <font>
      <b val="true"/>
      <sz val="10"/>
      <color rgb="FFFFFFFF"/>
      <name val="Times New Roman"/>
      <family val="0"/>
      <charset val="1"/>
    </font>
    <font>
      <sz val="10"/>
      <color theme="1"/>
      <name val="Times New Roman"/>
      <family val="0"/>
      <charset val="1"/>
    </font>
    <font>
      <sz val="10"/>
      <name val="Arial"/>
      <family val="2"/>
    </font>
    <font>
      <b val="true"/>
      <sz val="11"/>
      <color theme="1"/>
      <name val="Times New Roman"/>
      <family val="0"/>
      <charset val="1"/>
    </font>
  </fonts>
  <fills count="11">
    <fill>
      <patternFill patternType="none"/>
    </fill>
    <fill>
      <patternFill patternType="gray125"/>
    </fill>
    <fill>
      <patternFill patternType="solid">
        <fgColor rgb="FF2F75B5"/>
        <bgColor rgb="FF0066CC"/>
      </patternFill>
    </fill>
    <fill>
      <patternFill patternType="solid">
        <fgColor rgb="FF548235"/>
        <bgColor rgb="FF339966"/>
      </patternFill>
    </fill>
    <fill>
      <patternFill patternType="solid">
        <fgColor rgb="FFBF8F00"/>
        <bgColor rgb="FFC55A11"/>
      </patternFill>
    </fill>
    <fill>
      <patternFill patternType="solid">
        <fgColor rgb="FFC55A11"/>
        <bgColor rgb="FF993300"/>
      </patternFill>
    </fill>
    <fill>
      <patternFill patternType="solid">
        <fgColor rgb="FF123C52"/>
        <bgColor rgb="FF333333"/>
      </patternFill>
    </fill>
    <fill>
      <patternFill patternType="solid">
        <fgColor rgb="FFFBE4D5"/>
        <bgColor rgb="FFFFF2CC"/>
      </patternFill>
    </fill>
    <fill>
      <patternFill patternType="solid">
        <fgColor rgb="FFE2EFDA"/>
        <bgColor rgb="FFDDEBF7"/>
      </patternFill>
    </fill>
    <fill>
      <patternFill patternType="solid">
        <fgColor rgb="FFFFF2CC"/>
        <bgColor rgb="FFFBE4D5"/>
      </patternFill>
    </fill>
    <fill>
      <patternFill patternType="solid">
        <fgColor rgb="FFDDEBF7"/>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true" applyAlignment="tru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general" vertical="bottom" textRotation="0" wrapText="false" indent="0" shrinkToFit="false"/>
      <protection locked="true" hidden="false"/>
    </xf>
    <xf numFmtId="164" fontId="0" fillId="5"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6" fontId="9" fillId="7" borderId="1" xfId="0" applyFont="true" applyBorder="true" applyAlignment="true" applyProtection="false">
      <alignment horizontal="center" vertical="center" textRotation="0" wrapText="false" indent="0" shrinkToFit="false"/>
      <protection locked="true" hidden="false"/>
    </xf>
    <xf numFmtId="166" fontId="9" fillId="8" borderId="1" xfId="0" applyFont="true" applyBorder="true" applyAlignment="true" applyProtection="false">
      <alignment horizontal="center" vertical="center" textRotation="0" wrapText="false" indent="0" shrinkToFit="false"/>
      <protection locked="true" hidden="false"/>
    </xf>
    <xf numFmtId="166" fontId="9" fillId="9" borderId="1" xfId="0" applyFont="true" applyBorder="true" applyAlignment="true" applyProtection="false">
      <alignment horizontal="center" vertical="center" textRotation="0" wrapText="false" indent="0" shrinkToFit="false"/>
      <protection locked="true" hidden="false"/>
    </xf>
    <xf numFmtId="166" fontId="9" fillId="8" borderId="1" xfId="0" applyFont="true" applyBorder="true" applyAlignment="true" applyProtection="false">
      <alignment horizontal="left" vertical="center" textRotation="0" wrapText="false" indent="0" shrinkToFit="false"/>
      <protection locked="true" hidden="false"/>
    </xf>
    <xf numFmtId="166" fontId="9" fillId="7" borderId="1" xfId="0" applyFont="true" applyBorder="true" applyAlignment="true" applyProtection="false">
      <alignment horizontal="left" vertical="center" textRotation="0" wrapText="false" indent="0" shrinkToFit="false"/>
      <protection locked="true" hidden="false"/>
    </xf>
    <xf numFmtId="166" fontId="9" fillId="9" borderId="1" xfId="0" applyFont="true" applyBorder="true" applyAlignment="true" applyProtection="false">
      <alignment horizontal="left" vertical="center" textRotation="0" wrapText="false" indent="0" shrinkToFit="false"/>
      <protection locked="true" hidden="false"/>
    </xf>
    <xf numFmtId="167" fontId="9" fillId="8" borderId="1" xfId="0" applyFont="true" applyBorder="true" applyAlignment="true" applyProtection="false">
      <alignment horizontal="center" vertical="center" textRotation="0" wrapText="false" indent="0" shrinkToFit="false"/>
      <protection locked="true" hidden="false"/>
    </xf>
    <xf numFmtId="167" fontId="9" fillId="7" borderId="1" xfId="0" applyFont="true" applyBorder="true" applyAlignment="true" applyProtection="false">
      <alignment horizontal="center" vertical="center" textRotation="0" wrapText="false" indent="0" shrinkToFit="false"/>
      <protection locked="true" hidden="false"/>
    </xf>
    <xf numFmtId="167" fontId="9" fillId="9" borderId="1" xfId="0" applyFont="true" applyBorder="true" applyAlignment="true" applyProtection="false">
      <alignment horizontal="center" vertical="center" textRotation="0" wrapText="false" indent="0" shrinkToFit="false"/>
      <protection locked="true" hidden="false"/>
    </xf>
    <xf numFmtId="168" fontId="9" fillId="9" borderId="1" xfId="0" applyFont="true" applyBorder="true" applyAlignment="true" applyProtection="false">
      <alignment horizontal="center" vertical="center" textRotation="0" wrapText="false" indent="0" shrinkToFit="false"/>
      <protection locked="true" hidden="false"/>
    </xf>
    <xf numFmtId="169" fontId="9" fillId="8" borderId="1" xfId="0" applyFont="true" applyBorder="true" applyAlignment="true" applyProtection="false">
      <alignment horizontal="center" vertical="center" textRotation="0" wrapText="false" indent="0" shrinkToFit="false"/>
      <protection locked="true" hidden="false"/>
    </xf>
    <xf numFmtId="170" fontId="9" fillId="8" borderId="1" xfId="0" applyFont="true" applyBorder="true" applyAlignment="true" applyProtection="false">
      <alignment horizontal="center" vertical="center" textRotation="0" wrapText="false" indent="0" shrinkToFit="false"/>
      <protection locked="true" hidden="false"/>
    </xf>
    <xf numFmtId="170" fontId="9" fillId="9" borderId="1" xfId="0" applyFont="true" applyBorder="true" applyAlignment="true" applyProtection="false">
      <alignment horizontal="center" vertical="center" textRotation="0" wrapText="false" indent="0" shrinkToFit="false"/>
      <protection locked="true" hidden="false"/>
    </xf>
    <xf numFmtId="171" fontId="9" fillId="9" borderId="1" xfId="0" applyFont="true" applyBorder="true" applyAlignment="true" applyProtection="false">
      <alignment horizontal="center" vertical="center" textRotation="0" wrapText="false" indent="0" shrinkToFit="false"/>
      <protection locked="true" hidden="false"/>
    </xf>
    <xf numFmtId="168" fontId="9" fillId="7" borderId="1" xfId="0" applyFont="true" applyBorder="true" applyAlignment="true" applyProtection="false">
      <alignment horizontal="center" vertical="center" textRotation="0" wrapText="false" indent="0" shrinkToFit="false"/>
      <protection locked="true" hidden="false"/>
    </xf>
    <xf numFmtId="166" fontId="9" fillId="10" borderId="1" xfId="0" applyFont="true" applyBorder="true" applyAlignment="true" applyProtection="false">
      <alignment horizontal="center" vertical="center" textRotation="0" wrapText="false" indent="0" shrinkToFit="false"/>
      <protection locked="true" hidden="false"/>
    </xf>
    <xf numFmtId="166" fontId="9" fillId="10" borderId="1" xfId="0" applyFont="true" applyBorder="true" applyAlignment="true" applyProtection="false">
      <alignment horizontal="left" vertical="center" textRotation="0" wrapText="false" indent="0" shrinkToFit="false"/>
      <protection locked="true" hidden="false"/>
    </xf>
    <xf numFmtId="167" fontId="9" fillId="10" borderId="1" xfId="0" applyFont="true" applyBorder="true" applyAlignment="true" applyProtection="false">
      <alignment horizontal="center" vertical="center" textRotation="0" wrapText="false" indent="0" shrinkToFit="false"/>
      <protection locked="true" hidden="false"/>
    </xf>
    <xf numFmtId="168" fontId="9" fillId="10"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9" borderId="1" xfId="0" applyFont="true" applyBorder="true" applyAlignment="true" applyProtection="false">
      <alignment horizontal="left" vertical="center" textRotation="0" wrapText="false" indent="0" shrinkToFit="false"/>
      <protection locked="true" hidden="false"/>
    </xf>
    <xf numFmtId="164" fontId="5" fillId="9"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23C5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55A11"/>
          <bgColor rgb="FF000000"/>
        </patternFill>
      </fill>
    </dxf>
    <dxf>
      <fill>
        <patternFill patternType="solid">
          <fgColor rgb="FFFBE4D5"/>
          <bgColor rgb="FF000000"/>
        </patternFill>
      </fill>
    </dxf>
    <dxf>
      <fill>
        <patternFill patternType="solid">
          <fgColor rgb="FF548235"/>
          <bgColor rgb="FF000000"/>
        </patternFill>
      </fill>
    </dxf>
    <dxf>
      <fill>
        <patternFill patternType="solid">
          <fgColor rgb="FFE2EFDA"/>
          <bgColor rgb="FF000000"/>
        </patternFill>
      </fill>
    </dxf>
    <dxf>
      <fill>
        <patternFill patternType="solid">
          <fgColor rgb="FFBF8F00"/>
          <bgColor rgb="FF000000"/>
        </patternFill>
      </fill>
    </dxf>
    <dxf>
      <fill>
        <patternFill patternType="solid">
          <fgColor rgb="FFDDEBF7"/>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BE4D5"/>
      <rgbColor rgb="FF2F75B5"/>
      <rgbColor rgb="FF33CCCC"/>
      <rgbColor rgb="FF99CC00"/>
      <rgbColor rgb="FFFFCC00"/>
      <rgbColor rgb="FFBF8F00"/>
      <rgbColor rgb="FFC55A11"/>
      <rgbColor rgb="FF6B7280"/>
      <rgbColor rgb="FF969696"/>
      <rgbColor rgb="FF123C5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S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D29" activeCellId="0" sqref="D29"/>
    </sheetView>
  </sheetViews>
  <sheetFormatPr defaultColWidth="14.43359375" defaultRowHeight="15" customHeight="true" zeroHeight="false" outlineLevelRow="0" outlineLevelCol="0"/>
  <cols>
    <col collapsed="false" customWidth="true" hidden="false" outlineLevel="0" max="1" min="1" style="0" width="17.43"/>
    <col collapsed="false" customWidth="true" hidden="false" outlineLevel="0" max="2" min="2" style="0" width="13.29"/>
    <col collapsed="false" customWidth="true" hidden="false" outlineLevel="0" max="3" min="3" style="0" width="16"/>
    <col collapsed="false" customWidth="true" hidden="false" outlineLevel="0" max="4" min="4" style="0" width="18"/>
    <col collapsed="false" customWidth="true" hidden="false" outlineLevel="0" max="5" min="5" style="0" width="28"/>
    <col collapsed="false" customWidth="true" hidden="false" outlineLevel="0" max="6" min="6" style="0" width="18"/>
    <col collapsed="false" customWidth="true" hidden="false" outlineLevel="0" max="7" min="7" style="0" width="22"/>
    <col collapsed="false" customWidth="true" hidden="false" outlineLevel="0" max="8" min="8" style="0" width="12.29"/>
    <col collapsed="false" customWidth="true" hidden="false" outlineLevel="0" max="9" min="9" style="0" width="20"/>
    <col collapsed="false" customWidth="true" hidden="false" outlineLevel="0" max="10" min="10" style="0" width="10"/>
    <col collapsed="false" customWidth="true" hidden="false" outlineLevel="0" max="11" min="11" style="0" width="18"/>
    <col collapsed="false" customWidth="true" hidden="false" outlineLevel="0" max="12" min="12" style="0" width="16"/>
    <col collapsed="false" customWidth="true" hidden="false" outlineLevel="0" max="13" min="13" style="0" width="15.43"/>
    <col collapsed="false" customWidth="true" hidden="false" outlineLevel="0" max="14" min="14" style="0" width="13"/>
    <col collapsed="false" customWidth="true" hidden="false" outlineLevel="0" max="16" min="15" style="0" width="15"/>
    <col collapsed="false" customWidth="true" hidden="false" outlineLevel="0" max="17" min="17" style="0" width="12"/>
    <col collapsed="false" customWidth="true" hidden="false" outlineLevel="0" max="18" min="18" style="0" width="15"/>
    <col collapsed="false" customWidth="true" hidden="false" outlineLevel="0" max="19" min="19" style="0" width="13"/>
    <col collapsed="false" customWidth="true" hidden="false" outlineLevel="0" max="20" min="20" style="0" width="15"/>
    <col collapsed="false" customWidth="true" hidden="false" outlineLevel="0" max="21" min="21" style="0" width="13"/>
    <col collapsed="false" customWidth="true" hidden="false" outlineLevel="0" max="27" min="22" style="0" width="10"/>
    <col collapsed="false" customWidth="true" hidden="false" outlineLevel="0" max="28" min="28" style="0" width="12"/>
    <col collapsed="false" customWidth="true" hidden="false" outlineLevel="0" max="30" min="29" style="0" width="10"/>
    <col collapsed="false" customWidth="true" hidden="false" outlineLevel="0" max="31" min="31" style="0" width="12"/>
    <col collapsed="false" customWidth="true" hidden="false" outlineLevel="0" max="33" min="32" style="0" width="10"/>
    <col collapsed="false" customWidth="true" hidden="false" outlineLevel="0" max="35" min="34" style="0" width="8"/>
    <col collapsed="false" customWidth="true" hidden="false" outlineLevel="0" max="37" min="36" style="0" width="10"/>
    <col collapsed="false" customWidth="true" hidden="false" outlineLevel="0" max="38" min="38" style="0" width="12"/>
    <col collapsed="false" customWidth="true" hidden="false" outlineLevel="0" max="39" min="39" style="0" width="16"/>
    <col collapsed="false" customWidth="true" hidden="false" outlineLevel="0" max="40" min="40" style="0" width="12"/>
    <col collapsed="false" customWidth="true" hidden="false" outlineLevel="0" max="41" min="41" style="0" width="14"/>
    <col collapsed="false" customWidth="true" hidden="false" outlineLevel="0" max="42" min="42" style="0" width="16"/>
    <col collapsed="false" customWidth="true" hidden="false" outlineLevel="0" max="44" min="43" style="0" width="12"/>
    <col collapsed="false" customWidth="true" hidden="false" outlineLevel="0" max="45" min="45" style="0" width="40"/>
  </cols>
  <sheetData>
    <row r="1" customFormat="false" ht="16.15" hidden="false" customHeight="false" outlineLevel="0" collapsed="false">
      <c r="A1" s="1" t="s">
        <v>0</v>
      </c>
    </row>
    <row r="2" customFormat="false" ht="15" hidden="false" customHeight="false" outlineLevel="0" collapsed="false">
      <c r="A2" s="2" t="s">
        <v>1</v>
      </c>
      <c r="B2" s="3" t="s">
        <v>2</v>
      </c>
      <c r="C2" s="4" t="s">
        <v>3</v>
      </c>
      <c r="E2" s="5" t="s">
        <v>2</v>
      </c>
      <c r="F2" s="4" t="s">
        <v>4</v>
      </c>
      <c r="H2" s="6" t="s">
        <v>2</v>
      </c>
      <c r="I2" s="4" t="s">
        <v>5</v>
      </c>
      <c r="K2" s="7" t="s">
        <v>2</v>
      </c>
      <c r="L2" s="4" t="s">
        <v>6</v>
      </c>
    </row>
    <row r="3" customFormat="false" ht="15" hidden="true" customHeight="false" outlineLevel="0" collapsed="false">
      <c r="A3" s="8" t="s">
        <v>7</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row>
    <row r="4" customFormat="false" ht="15" hidden="true" customHeight="false" outlineLevel="0" collapsed="false">
      <c r="A4" s="8" t="s">
        <v>8</v>
      </c>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row>
    <row r="5" customFormat="false" ht="15" hidden="true" customHeight="false" outlineLevel="0" collapsed="false">
      <c r="A5" s="8" t="s">
        <v>9</v>
      </c>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row>
    <row r="7" customFormat="false" ht="49.5" hidden="false" customHeight="true" outlineLevel="0" collapsed="false">
      <c r="A7" s="9" t="s">
        <v>10</v>
      </c>
      <c r="B7" s="10" t="s">
        <v>11</v>
      </c>
      <c r="C7" s="11" t="s">
        <v>12</v>
      </c>
      <c r="D7" s="12" t="s">
        <v>13</v>
      </c>
      <c r="E7" s="11" t="s">
        <v>14</v>
      </c>
      <c r="F7" s="11" t="s">
        <v>15</v>
      </c>
      <c r="G7" s="10" t="s">
        <v>16</v>
      </c>
      <c r="H7" s="10" t="s">
        <v>17</v>
      </c>
      <c r="I7" s="12" t="s">
        <v>18</v>
      </c>
      <c r="J7" s="12" t="s">
        <v>19</v>
      </c>
      <c r="K7" s="12" t="s">
        <v>20</v>
      </c>
      <c r="L7" s="11" t="s">
        <v>21</v>
      </c>
      <c r="M7" s="11" t="s">
        <v>22</v>
      </c>
      <c r="N7" s="10" t="s">
        <v>23</v>
      </c>
      <c r="O7" s="11" t="s">
        <v>24</v>
      </c>
      <c r="P7" s="10" t="s">
        <v>25</v>
      </c>
      <c r="Q7" s="10" t="s">
        <v>26</v>
      </c>
      <c r="R7" s="12" t="s">
        <v>27</v>
      </c>
      <c r="S7" s="12" t="s">
        <v>28</v>
      </c>
      <c r="T7" s="12" t="s">
        <v>29</v>
      </c>
      <c r="U7" s="11" t="s">
        <v>30</v>
      </c>
      <c r="V7" s="11" t="s">
        <v>31</v>
      </c>
      <c r="W7" s="11" t="s">
        <v>32</v>
      </c>
      <c r="X7" s="11" t="s">
        <v>33</v>
      </c>
      <c r="Y7" s="11" t="s">
        <v>34</v>
      </c>
      <c r="Z7" s="11" t="s">
        <v>35</v>
      </c>
      <c r="AA7" s="11" t="s">
        <v>36</v>
      </c>
      <c r="AB7" s="12" t="s">
        <v>37</v>
      </c>
      <c r="AC7" s="12" t="s">
        <v>38</v>
      </c>
      <c r="AD7" s="12" t="s">
        <v>39</v>
      </c>
      <c r="AE7" s="12" t="s">
        <v>40</v>
      </c>
      <c r="AF7" s="12" t="s">
        <v>41</v>
      </c>
      <c r="AG7" s="12" t="s">
        <v>42</v>
      </c>
      <c r="AH7" s="12" t="s">
        <v>43</v>
      </c>
      <c r="AI7" s="12" t="s">
        <v>44</v>
      </c>
      <c r="AJ7" s="12" t="s">
        <v>45</v>
      </c>
      <c r="AK7" s="12" t="s">
        <v>46</v>
      </c>
      <c r="AL7" s="12" t="s">
        <v>47</v>
      </c>
      <c r="AM7" s="12" t="s">
        <v>48</v>
      </c>
      <c r="AN7" s="10" t="s">
        <v>49</v>
      </c>
      <c r="AO7" s="10" t="s">
        <v>50</v>
      </c>
      <c r="AP7" s="10" t="s">
        <v>51</v>
      </c>
      <c r="AQ7" s="10" t="s">
        <v>52</v>
      </c>
      <c r="AR7" s="10" t="s">
        <v>53</v>
      </c>
      <c r="AS7" s="11" t="s">
        <v>54</v>
      </c>
    </row>
    <row r="8" customFormat="false" ht="15" hidden="false" customHeight="false" outlineLevel="0" collapsed="false">
      <c r="A8" s="13" t="n">
        <v>1</v>
      </c>
      <c r="B8" s="14" t="s">
        <v>55</v>
      </c>
      <c r="C8" s="15" t="s">
        <v>56</v>
      </c>
      <c r="D8" s="16"/>
      <c r="E8" s="17" t="s">
        <v>57</v>
      </c>
      <c r="F8" s="17" t="s">
        <v>58</v>
      </c>
      <c r="G8" s="18"/>
      <c r="H8" s="14"/>
      <c r="I8" s="19" t="s">
        <v>59</v>
      </c>
      <c r="J8" s="16" t="s">
        <v>60</v>
      </c>
      <c r="K8" s="16" t="s">
        <v>61</v>
      </c>
      <c r="L8" s="17" t="s">
        <v>62</v>
      </c>
      <c r="M8" s="20" t="n">
        <v>46006</v>
      </c>
      <c r="N8" s="21"/>
      <c r="O8" s="20" t="n">
        <v>46294</v>
      </c>
      <c r="P8" s="21"/>
      <c r="Q8" s="14"/>
      <c r="R8" s="16" t="str">
        <f aca="true">IF(AND(P8&lt;&gt;"",K8="Đang triển khai",OR(AD8="",AD8&lt;1),Q8&lt;&gt;"Có",(P8-TODAY())&lt;=30),"Có","Không")</f>
        <v>Không</v>
      </c>
      <c r="S8" s="22"/>
      <c r="T8" s="23"/>
      <c r="U8" s="24" t="n">
        <v>26822</v>
      </c>
      <c r="V8" s="25" t="n">
        <v>0.927649598464588</v>
      </c>
      <c r="W8" s="25" t="n">
        <v>0.829468346879427</v>
      </c>
      <c r="X8" s="25" t="n">
        <v>0.768958317798822</v>
      </c>
      <c r="Y8" s="25" t="n">
        <v>0.705838490791142</v>
      </c>
      <c r="Z8" s="25" t="n">
        <v>0.514428454253971</v>
      </c>
      <c r="AA8" s="25" t="n">
        <v>0</v>
      </c>
      <c r="AB8" s="23" t="n">
        <v>477.8</v>
      </c>
      <c r="AC8" s="26" t="n">
        <v>0.8571</v>
      </c>
      <c r="AD8" s="26" t="n">
        <v>0.7898</v>
      </c>
      <c r="AE8" s="23" t="n">
        <v>210</v>
      </c>
      <c r="AF8" s="23" t="n">
        <f aca="false">IF(AB8="","",AB8*AC8)</f>
        <v>409.52238</v>
      </c>
      <c r="AG8" s="23" t="n">
        <f aca="false">IF(AB8="","",AB8*AD8)</f>
        <v>377.36644</v>
      </c>
      <c r="AH8" s="27" t="n">
        <f aca="false">IFERROR(IF(AB8="","",AG8/AF8),"")</f>
        <v>0.921479407303699</v>
      </c>
      <c r="AI8" s="27" t="n">
        <f aca="false">IFERROR(IF(AB8="","",AG8/AE8),"")</f>
        <v>1.79698304761905</v>
      </c>
      <c r="AJ8" s="23" t="n">
        <f aca="false">IFERROR(IF(AB8="","",AB8/AI8),"")</f>
        <v>265.89009875918</v>
      </c>
      <c r="AK8" s="23" t="n">
        <f aca="false">IF(AB8="","",AB8-AJ8)</f>
        <v>211.909901240821</v>
      </c>
      <c r="AL8" s="16" t="s">
        <v>63</v>
      </c>
      <c r="AM8" s="16" t="s">
        <v>64</v>
      </c>
      <c r="AN8" s="28"/>
      <c r="AO8" s="28"/>
      <c r="AP8" s="28"/>
      <c r="AQ8" s="28"/>
      <c r="AR8" s="28"/>
      <c r="AS8" s="17"/>
    </row>
    <row r="9" customFormat="false" ht="15" hidden="false" customHeight="false" outlineLevel="0" collapsed="false">
      <c r="A9" s="13" t="n">
        <v>2</v>
      </c>
      <c r="B9" s="14" t="s">
        <v>65</v>
      </c>
      <c r="C9" s="15" t="s">
        <v>66</v>
      </c>
      <c r="D9" s="14"/>
      <c r="E9" s="17" t="s">
        <v>67</v>
      </c>
      <c r="F9" s="17" t="s">
        <v>58</v>
      </c>
      <c r="G9" s="18"/>
      <c r="H9" s="14"/>
      <c r="I9" s="19" t="s">
        <v>59</v>
      </c>
      <c r="J9" s="16" t="s">
        <v>60</v>
      </c>
      <c r="K9" s="16" t="s">
        <v>61</v>
      </c>
      <c r="L9" s="17" t="s">
        <v>68</v>
      </c>
      <c r="M9" s="20" t="n">
        <v>46006</v>
      </c>
      <c r="N9" s="21"/>
      <c r="O9" s="20" t="n">
        <v>46462</v>
      </c>
      <c r="P9" s="21"/>
      <c r="Q9" s="14"/>
      <c r="R9" s="16" t="str">
        <f aca="true">IF(AND(P9&lt;&gt;"",K9="Đang triển khai",OR(AD9="",AD9&lt;1),Q9&lt;&gt;"Có",(P9-TODAY())&lt;=30),"Có","Không")</f>
        <v>Không</v>
      </c>
      <c r="S9" s="22"/>
      <c r="T9" s="23"/>
      <c r="U9" s="24" t="n">
        <v>54965</v>
      </c>
      <c r="V9" s="25" t="n">
        <v>0.751478213408533</v>
      </c>
      <c r="W9" s="25" t="n">
        <v>0.778804693896116</v>
      </c>
      <c r="X9" s="25" t="n">
        <v>0.280942417902302</v>
      </c>
      <c r="Y9" s="25" t="n">
        <v>0.140107341035204</v>
      </c>
      <c r="Z9" s="25" t="n">
        <v>0.00605840080050942</v>
      </c>
      <c r="AA9" s="25" t="n">
        <v>0</v>
      </c>
      <c r="AB9" s="23" t="n">
        <v>784.6</v>
      </c>
      <c r="AC9" s="26" t="n">
        <v>0.5011</v>
      </c>
      <c r="AD9" s="26" t="n">
        <v>0.4305</v>
      </c>
      <c r="AE9" s="23" t="n">
        <v>100</v>
      </c>
      <c r="AF9" s="23" t="n">
        <f aca="false">IF(AB9="","",AB9*AC9)</f>
        <v>393.16306</v>
      </c>
      <c r="AG9" s="23" t="n">
        <f aca="false">IF(AB9="","",AB9*AD9)</f>
        <v>337.7703</v>
      </c>
      <c r="AH9" s="27" t="n">
        <f aca="false">IFERROR(IF(AB9="","",AG9/AF9),"")</f>
        <v>0.859109958092197</v>
      </c>
      <c r="AI9" s="27" t="n">
        <f aca="false">IFERROR(IF(AB9="","",AG9/AE9),"")</f>
        <v>3.377703</v>
      </c>
      <c r="AJ9" s="23" t="n">
        <f aca="false">IFERROR(IF(AB9="","",AB9/AI9),"")</f>
        <v>232.288037166086</v>
      </c>
      <c r="AK9" s="23" t="n">
        <f aca="false">IF(AB9="","",AB9-AJ9)</f>
        <v>552.311962833914</v>
      </c>
      <c r="AL9" s="16" t="s">
        <v>63</v>
      </c>
      <c r="AM9" s="16" t="s">
        <v>64</v>
      </c>
      <c r="AN9" s="28"/>
      <c r="AO9" s="28"/>
      <c r="AP9" s="28"/>
      <c r="AQ9" s="28"/>
      <c r="AR9" s="28"/>
      <c r="AS9" s="17"/>
    </row>
    <row r="10" customFormat="false" ht="15" hidden="false" customHeight="false" outlineLevel="0" collapsed="false">
      <c r="A10" s="13" t="n">
        <v>3</v>
      </c>
      <c r="B10" s="14" t="s">
        <v>69</v>
      </c>
      <c r="C10" s="15" t="s">
        <v>70</v>
      </c>
      <c r="D10" s="16"/>
      <c r="E10" s="17" t="s">
        <v>71</v>
      </c>
      <c r="F10" s="17" t="s">
        <v>72</v>
      </c>
      <c r="G10" s="18"/>
      <c r="H10" s="14"/>
      <c r="I10" s="18"/>
      <c r="J10" s="16" t="s">
        <v>60</v>
      </c>
      <c r="K10" s="16" t="s">
        <v>61</v>
      </c>
      <c r="L10" s="17" t="s">
        <v>62</v>
      </c>
      <c r="M10" s="20" t="s">
        <v>73</v>
      </c>
      <c r="N10" s="21"/>
      <c r="O10" s="20" t="s">
        <v>74</v>
      </c>
      <c r="P10" s="21"/>
      <c r="Q10" s="14"/>
      <c r="R10" s="16" t="str">
        <f aca="true">IF(AND(P10&lt;&gt;"",K10="Đang triển khai",OR(AD10="",AD10&lt;1),Q10&lt;&gt;"Có",(P10-TODAY())&lt;=30),"Có","Không")</f>
        <v>Không</v>
      </c>
      <c r="S10" s="22"/>
      <c r="T10" s="23"/>
      <c r="U10" s="24" t="n">
        <v>11475</v>
      </c>
      <c r="V10" s="25" t="n">
        <v>0.0643263782134982</v>
      </c>
      <c r="W10" s="25" t="n">
        <v>0</v>
      </c>
      <c r="X10" s="25" t="n">
        <v>0.0539433551198257</v>
      </c>
      <c r="Y10" s="25" t="n">
        <v>0.0539433551198257</v>
      </c>
      <c r="Z10" s="25" t="n">
        <v>0</v>
      </c>
      <c r="AA10" s="25" t="n">
        <v>0</v>
      </c>
      <c r="AB10" s="23" t="n">
        <v>481.8</v>
      </c>
      <c r="AC10" s="26" t="n">
        <v>0.9</v>
      </c>
      <c r="AD10" s="26" t="n">
        <v>0.85</v>
      </c>
      <c r="AE10" s="23" t="n">
        <v>300</v>
      </c>
      <c r="AF10" s="23" t="n">
        <f aca="false">IF(AB10="","",AB10*AC10)</f>
        <v>433.62</v>
      </c>
      <c r="AG10" s="23" t="n">
        <f aca="false">IF(AB10="","",AB10*AD10)</f>
        <v>409.53</v>
      </c>
      <c r="AH10" s="27" t="n">
        <f aca="false">IFERROR(IF(AB10="","",AG10/AF10),"")</f>
        <v>0.944444444444444</v>
      </c>
      <c r="AI10" s="27" t="n">
        <f aca="false">IFERROR(IF(AB10="","",AG10/AE10),"")</f>
        <v>1.3651</v>
      </c>
      <c r="AJ10" s="23" t="n">
        <f aca="false">IFERROR(IF(AB10="","",AB10/AI10),"")</f>
        <v>352.941176470588</v>
      </c>
      <c r="AK10" s="23" t="n">
        <f aca="false">IF(AB10="","",AB10-AJ10)</f>
        <v>128.858823529412</v>
      </c>
      <c r="AL10" s="16" t="s">
        <v>75</v>
      </c>
      <c r="AM10" s="16" t="s">
        <v>64</v>
      </c>
      <c r="AN10" s="28"/>
      <c r="AO10" s="28"/>
      <c r="AP10" s="28"/>
      <c r="AQ10" s="28"/>
      <c r="AR10" s="28"/>
      <c r="AS10" s="17"/>
    </row>
    <row r="11" customFormat="false" ht="15" hidden="false" customHeight="false" outlineLevel="0" collapsed="false">
      <c r="A11" s="13" t="n">
        <v>4</v>
      </c>
      <c r="B11" s="14" t="s">
        <v>76</v>
      </c>
      <c r="C11" s="15" t="s">
        <v>77</v>
      </c>
      <c r="D11" s="16"/>
      <c r="E11" s="17" t="s">
        <v>78</v>
      </c>
      <c r="F11" s="17" t="s">
        <v>72</v>
      </c>
      <c r="G11" s="18"/>
      <c r="H11" s="14"/>
      <c r="I11" s="19" t="s">
        <v>79</v>
      </c>
      <c r="J11" s="16" t="s">
        <v>60</v>
      </c>
      <c r="K11" s="16" t="s">
        <v>61</v>
      </c>
      <c r="L11" s="17" t="s">
        <v>80</v>
      </c>
      <c r="M11" s="20" t="s">
        <v>81</v>
      </c>
      <c r="N11" s="21"/>
      <c r="O11" s="20" t="s">
        <v>82</v>
      </c>
      <c r="P11" s="21"/>
      <c r="Q11" s="14"/>
      <c r="R11" s="16" t="str">
        <f aca="true">IF(AND(P11&lt;&gt;"",K11="Đang triển khai",OR(AD11="",AD11&lt;1),Q11&lt;&gt;"Có",(P11-TODAY())&lt;=30),"Có","Không")</f>
        <v>Không</v>
      </c>
      <c r="S11" s="22"/>
      <c r="T11" s="23"/>
      <c r="U11" s="24" t="n">
        <v>16056</v>
      </c>
      <c r="V11" s="25" t="n">
        <v>1.08180127615847</v>
      </c>
      <c r="W11" s="25" t="n">
        <v>0</v>
      </c>
      <c r="X11" s="25" t="n">
        <v>0.943883906327853</v>
      </c>
      <c r="Y11" s="25" t="n">
        <v>0.930306427503737</v>
      </c>
      <c r="Z11" s="25" t="n">
        <v>0</v>
      </c>
      <c r="AA11" s="25" t="n">
        <v>0</v>
      </c>
      <c r="AB11" s="23" t="n">
        <v>825.6</v>
      </c>
      <c r="AC11" s="26" t="n">
        <v>0.9</v>
      </c>
      <c r="AD11" s="26" t="n">
        <v>0.85</v>
      </c>
      <c r="AE11" s="23" t="n">
        <v>500</v>
      </c>
      <c r="AF11" s="23" t="n">
        <f aca="false">IF(AB11="","",AB11*AC11)</f>
        <v>743.04</v>
      </c>
      <c r="AG11" s="23" t="n">
        <f aca="false">IF(AB11="","",AB11*AD11)</f>
        <v>701.76</v>
      </c>
      <c r="AH11" s="27" t="n">
        <f aca="false">IFERROR(IF(AB11="","",AG11/AF11),"")</f>
        <v>0.944444444444444</v>
      </c>
      <c r="AI11" s="27" t="n">
        <f aca="false">IFERROR(IF(AB11="","",AG11/AE11),"")</f>
        <v>1.40352</v>
      </c>
      <c r="AJ11" s="23" t="n">
        <f aca="false">IFERROR(IF(AB11="","",AB11/AI11),"")</f>
        <v>588.235294117647</v>
      </c>
      <c r="AK11" s="23" t="n">
        <f aca="false">IF(AB11="","",AB11-AJ11)</f>
        <v>237.364705882353</v>
      </c>
      <c r="AL11" s="16" t="s">
        <v>83</v>
      </c>
      <c r="AM11" s="16" t="s">
        <v>64</v>
      </c>
      <c r="AN11" s="28"/>
      <c r="AO11" s="28"/>
      <c r="AP11" s="28"/>
      <c r="AQ11" s="28"/>
      <c r="AR11" s="28"/>
      <c r="AS11" s="17"/>
    </row>
    <row r="12" customFormat="false" ht="15" hidden="false" customHeight="false" outlineLevel="0" collapsed="false">
      <c r="A12" s="13" t="n">
        <v>5</v>
      </c>
      <c r="B12" s="14" t="s">
        <v>84</v>
      </c>
      <c r="C12" s="15" t="s">
        <v>85</v>
      </c>
      <c r="D12" s="29" t="s">
        <v>86</v>
      </c>
      <c r="E12" s="17" t="s">
        <v>87</v>
      </c>
      <c r="F12" s="17" t="s">
        <v>58</v>
      </c>
      <c r="G12" s="30" t="s">
        <v>88</v>
      </c>
      <c r="H12" s="14"/>
      <c r="I12" s="18"/>
      <c r="J12" s="29" t="s">
        <v>60</v>
      </c>
      <c r="K12" s="16" t="s">
        <v>61</v>
      </c>
      <c r="L12" s="17" t="s">
        <v>68</v>
      </c>
      <c r="M12" s="20" t="n">
        <v>45987</v>
      </c>
      <c r="N12" s="21"/>
      <c r="O12" s="20" t="n">
        <v>46264</v>
      </c>
      <c r="P12" s="21"/>
      <c r="Q12" s="14"/>
      <c r="R12" s="16" t="str">
        <f aca="true">IF(AND(P12&lt;&gt;"",K12="Đang triển khai",OR(AD12="",AD12&lt;1),Q12&lt;&gt;"Có",(P12-TODAY())&lt;=30),"Có","Không")</f>
        <v>Không</v>
      </c>
      <c r="S12" s="31" t="s">
        <v>89</v>
      </c>
      <c r="T12" s="32" t="n">
        <v>1743.5</v>
      </c>
      <c r="U12" s="24" t="n">
        <v>16334</v>
      </c>
      <c r="V12" s="25" t="n">
        <v>0.63812721317497</v>
      </c>
      <c r="W12" s="25" t="n">
        <v>0</v>
      </c>
      <c r="X12" s="25" t="n">
        <v>0.0621403208032325</v>
      </c>
      <c r="Y12" s="25" t="n">
        <v>0.0232031345659361</v>
      </c>
      <c r="Z12" s="25" t="n">
        <v>0</v>
      </c>
      <c r="AA12" s="25" t="n">
        <v>0</v>
      </c>
      <c r="AB12" s="23"/>
      <c r="AC12" s="26"/>
      <c r="AD12" s="26"/>
      <c r="AE12" s="23"/>
      <c r="AF12" s="23" t="str">
        <f aca="false">IF(AB12="","",AB12*AC12)</f>
        <v/>
      </c>
      <c r="AG12" s="23" t="str">
        <f aca="false">IF(AB12="","",AB12*AD12)</f>
        <v/>
      </c>
      <c r="AH12" s="27" t="str">
        <f aca="false">IFERROR(IF(AB12="","",AG12/AF12),"")</f>
        <v/>
      </c>
      <c r="AI12" s="27" t="str">
        <f aca="false">IFERROR(IF(AB12="","",AG12/AE12),"")</f>
        <v/>
      </c>
      <c r="AJ12" s="23" t="str">
        <f aca="false">IFERROR(IF(AB12="","",AB12/AI12),"")</f>
        <v/>
      </c>
      <c r="AK12" s="23" t="str">
        <f aca="false">IF(AB12="","",AB12-AJ12)</f>
        <v/>
      </c>
      <c r="AL12" s="16"/>
      <c r="AM12" s="16"/>
      <c r="AN12" s="28"/>
      <c r="AO12" s="28"/>
      <c r="AP12" s="28"/>
      <c r="AQ12" s="28"/>
      <c r="AR12" s="28"/>
      <c r="AS12" s="17"/>
    </row>
    <row r="13" customFormat="false" ht="15" hidden="false" customHeight="false" outlineLevel="0" collapsed="false">
      <c r="A13" s="13" t="n">
        <v>6</v>
      </c>
      <c r="B13" s="14" t="s">
        <v>90</v>
      </c>
      <c r="C13" s="15" t="s">
        <v>91</v>
      </c>
      <c r="D13" s="16"/>
      <c r="E13" s="17" t="s">
        <v>92</v>
      </c>
      <c r="F13" s="17" t="s">
        <v>93</v>
      </c>
      <c r="G13" s="18"/>
      <c r="H13" s="14"/>
      <c r="I13" s="19" t="s">
        <v>94</v>
      </c>
      <c r="J13" s="16" t="s">
        <v>60</v>
      </c>
      <c r="K13" s="16" t="s">
        <v>61</v>
      </c>
      <c r="L13" s="17" t="s">
        <v>68</v>
      </c>
      <c r="M13" s="20" t="n">
        <v>45964</v>
      </c>
      <c r="N13" s="21"/>
      <c r="O13" s="20" t="n">
        <v>46339</v>
      </c>
      <c r="P13" s="21"/>
      <c r="Q13" s="14"/>
      <c r="R13" s="16" t="str">
        <f aca="true">IF(AND(P13&lt;&gt;"",K13="Đang triển khai",OR(AD13="",AD13&lt;1),Q13&lt;&gt;"Có",(P13-TODAY())&lt;=30),"Có","Không")</f>
        <v>Không</v>
      </c>
      <c r="S13" s="22"/>
      <c r="T13" s="23"/>
      <c r="U13" s="24" t="n">
        <v>1247</v>
      </c>
      <c r="V13" s="25" t="n">
        <v>3.30808912590211</v>
      </c>
      <c r="W13" s="25" t="n">
        <v>0</v>
      </c>
      <c r="X13" s="25" t="n">
        <v>2.58139534883721</v>
      </c>
      <c r="Y13" s="25" t="n">
        <v>2.17080994386528</v>
      </c>
      <c r="Z13" s="25" t="n">
        <v>0</v>
      </c>
      <c r="AA13" s="25" t="n">
        <v>0</v>
      </c>
      <c r="AB13" s="23"/>
      <c r="AC13" s="26"/>
      <c r="AD13" s="26"/>
      <c r="AE13" s="23"/>
      <c r="AF13" s="23" t="str">
        <f aca="false">IF(AB13="","",AB13*AC13)</f>
        <v/>
      </c>
      <c r="AG13" s="23" t="str">
        <f aca="false">IF(AB13="","",AB13*AD13)</f>
        <v/>
      </c>
      <c r="AH13" s="27" t="str">
        <f aca="false">IFERROR(IF(AB13="","",AG13/AF13),"")</f>
        <v/>
      </c>
      <c r="AI13" s="27" t="str">
        <f aca="false">IFERROR(IF(AB13="","",AG13/AE13),"")</f>
        <v/>
      </c>
      <c r="AJ13" s="23" t="str">
        <f aca="false">IFERROR(IF(AB13="","",AB13/AI13),"")</f>
        <v/>
      </c>
      <c r="AK13" s="23" t="str">
        <f aca="false">IF(AB13="","",AB13-AJ13)</f>
        <v/>
      </c>
      <c r="AL13" s="16"/>
      <c r="AM13" s="16"/>
      <c r="AN13" s="28"/>
      <c r="AO13" s="28"/>
      <c r="AP13" s="28"/>
      <c r="AQ13" s="28"/>
      <c r="AR13" s="28"/>
      <c r="AS13" s="17"/>
    </row>
    <row r="14" customFormat="false" ht="15" hidden="false" customHeight="false" outlineLevel="0" collapsed="false">
      <c r="A14" s="13" t="n">
        <v>7</v>
      </c>
      <c r="B14" s="14" t="s">
        <v>95</v>
      </c>
      <c r="C14" s="15" t="s">
        <v>96</v>
      </c>
      <c r="D14" s="16"/>
      <c r="E14" s="17" t="s">
        <v>97</v>
      </c>
      <c r="F14" s="17" t="s">
        <v>98</v>
      </c>
      <c r="G14" s="18"/>
      <c r="H14" s="14"/>
      <c r="I14" s="19" t="s">
        <v>94</v>
      </c>
      <c r="J14" s="16" t="s">
        <v>60</v>
      </c>
      <c r="K14" s="16" t="s">
        <v>61</v>
      </c>
      <c r="L14" s="17" t="s">
        <v>68</v>
      </c>
      <c r="M14" s="20" t="n">
        <v>45886</v>
      </c>
      <c r="N14" s="21"/>
      <c r="O14" s="20" t="n">
        <v>46283</v>
      </c>
      <c r="P14" s="21"/>
      <c r="Q14" s="14"/>
      <c r="R14" s="16" t="str">
        <f aca="true">IF(AND(P14&lt;&gt;"",K14="Đang triển khai",OR(AD14="",AD14&lt;1),Q14&lt;&gt;"Có",(P14-TODAY())&lt;=30),"Có","Không")</f>
        <v>Không</v>
      </c>
      <c r="S14" s="22"/>
      <c r="T14" s="23"/>
      <c r="U14" s="24" t="n">
        <v>1354</v>
      </c>
      <c r="V14" s="25" t="n">
        <v>1.52081375184642</v>
      </c>
      <c r="W14" s="25" t="n">
        <v>0</v>
      </c>
      <c r="X14" s="25" t="n">
        <v>1.52067946824225</v>
      </c>
      <c r="Y14" s="25" t="n">
        <v>1.10413589364845</v>
      </c>
      <c r="Z14" s="25" t="n">
        <v>0</v>
      </c>
      <c r="AA14" s="25" t="n">
        <v>0</v>
      </c>
      <c r="AB14" s="23"/>
      <c r="AC14" s="26"/>
      <c r="AD14" s="26"/>
      <c r="AE14" s="23"/>
      <c r="AF14" s="23" t="str">
        <f aca="false">IF(AB14="","",AB14*AC14)</f>
        <v/>
      </c>
      <c r="AG14" s="23" t="str">
        <f aca="false">IF(AB14="","",AB14*AD14)</f>
        <v/>
      </c>
      <c r="AH14" s="27" t="str">
        <f aca="false">IFERROR(IF(AB14="","",AG14/AF14),"")</f>
        <v/>
      </c>
      <c r="AI14" s="27" t="str">
        <f aca="false">IFERROR(IF(AB14="","",AG14/AE14),"")</f>
        <v/>
      </c>
      <c r="AJ14" s="23" t="str">
        <f aca="false">IFERROR(IF(AB14="","",AB14/AI14),"")</f>
        <v/>
      </c>
      <c r="AK14" s="23" t="str">
        <f aca="false">IF(AB14="","",AB14-AJ14)</f>
        <v/>
      </c>
      <c r="AL14" s="16"/>
      <c r="AM14" s="16"/>
      <c r="AN14" s="28"/>
      <c r="AO14" s="28"/>
      <c r="AP14" s="28"/>
      <c r="AQ14" s="28"/>
      <c r="AR14" s="28"/>
      <c r="AS14" s="17"/>
    </row>
    <row r="15" customFormat="false" ht="15" hidden="false" customHeight="false" outlineLevel="0" collapsed="false">
      <c r="A15" s="13" t="n">
        <v>8</v>
      </c>
      <c r="B15" s="14" t="s">
        <v>99</v>
      </c>
      <c r="C15" s="15" t="s">
        <v>100</v>
      </c>
      <c r="D15" s="16"/>
      <c r="E15" s="17" t="s">
        <v>101</v>
      </c>
      <c r="F15" s="17" t="s">
        <v>102</v>
      </c>
      <c r="G15" s="18"/>
      <c r="H15" s="14"/>
      <c r="I15" s="19" t="s">
        <v>94</v>
      </c>
      <c r="J15" s="16" t="s">
        <v>60</v>
      </c>
      <c r="K15" s="16" t="s">
        <v>61</v>
      </c>
      <c r="L15" s="17" t="s">
        <v>80</v>
      </c>
      <c r="M15" s="20" t="n">
        <v>45483</v>
      </c>
      <c r="N15" s="21"/>
      <c r="O15" s="20" t="n">
        <v>46021</v>
      </c>
      <c r="P15" s="21"/>
      <c r="Q15" s="14"/>
      <c r="R15" s="16" t="str">
        <f aca="true">IF(AND(P15&lt;&gt;"",K15="Đang triển khai",OR(AD15="",AD15&lt;1),Q15&lt;&gt;"Có",(P15-TODAY())&lt;=30),"Có","Không")</f>
        <v>Không</v>
      </c>
      <c r="S15" s="22"/>
      <c r="T15" s="23"/>
      <c r="U15" s="24" t="n">
        <v>2018</v>
      </c>
      <c r="V15" s="25" t="n">
        <v>2.31151397423148</v>
      </c>
      <c r="W15" s="25" t="n">
        <v>0</v>
      </c>
      <c r="X15" s="25" t="n">
        <v>1.1382556987116</v>
      </c>
      <c r="Y15" s="25" t="n">
        <v>1.0986124876115</v>
      </c>
      <c r="Z15" s="25" t="n">
        <v>0</v>
      </c>
      <c r="AA15" s="25" t="n">
        <v>0</v>
      </c>
      <c r="AB15" s="23"/>
      <c r="AC15" s="26"/>
      <c r="AD15" s="26"/>
      <c r="AE15" s="23"/>
      <c r="AF15" s="23" t="str">
        <f aca="false">IF(AB15="","",AB15*AC15)</f>
        <v/>
      </c>
      <c r="AG15" s="23" t="str">
        <f aca="false">IF(AB15="","",AB15*AD15)</f>
        <v/>
      </c>
      <c r="AH15" s="27" t="str">
        <f aca="false">IFERROR(IF(AB15="","",AG15/AF15),"")</f>
        <v/>
      </c>
      <c r="AI15" s="27" t="str">
        <f aca="false">IFERROR(IF(AB15="","",AG15/AE15),"")</f>
        <v/>
      </c>
      <c r="AJ15" s="23" t="str">
        <f aca="false">IFERROR(IF(AB15="","",AB15/AI15),"")</f>
        <v/>
      </c>
      <c r="AK15" s="23" t="str">
        <f aca="false">IF(AB15="","",AB15-AJ15)</f>
        <v/>
      </c>
      <c r="AL15" s="16"/>
      <c r="AM15" s="16"/>
      <c r="AN15" s="28"/>
      <c r="AO15" s="28"/>
      <c r="AP15" s="28"/>
      <c r="AQ15" s="28"/>
      <c r="AR15" s="28"/>
      <c r="AS15" s="17"/>
    </row>
    <row r="16" customFormat="false" ht="15" hidden="false" customHeight="false" outlineLevel="0" collapsed="false">
      <c r="A16" s="13" t="n">
        <v>9</v>
      </c>
      <c r="B16" s="14" t="s">
        <v>103</v>
      </c>
      <c r="C16" s="15" t="s">
        <v>104</v>
      </c>
      <c r="D16" s="16"/>
      <c r="E16" s="17" t="s">
        <v>105</v>
      </c>
      <c r="F16" s="17" t="s">
        <v>106</v>
      </c>
      <c r="G16" s="18"/>
      <c r="H16" s="14"/>
      <c r="I16" s="19" t="s">
        <v>107</v>
      </c>
      <c r="J16" s="16" t="s">
        <v>60</v>
      </c>
      <c r="K16" s="16" t="s">
        <v>61</v>
      </c>
      <c r="L16" s="17" t="s">
        <v>80</v>
      </c>
      <c r="M16" s="20" t="n">
        <v>45925</v>
      </c>
      <c r="N16" s="21"/>
      <c r="O16" s="20" t="n">
        <v>46113</v>
      </c>
      <c r="P16" s="21"/>
      <c r="Q16" s="14"/>
      <c r="R16" s="16" t="str">
        <f aca="true">IF(AND(P16&lt;&gt;"",K16="Đang triển khai",OR(AD16="",AD16&lt;1),Q16&lt;&gt;"Có",(P16-TODAY())&lt;=30),"Có","Không")</f>
        <v>Không</v>
      </c>
      <c r="S16" s="22"/>
      <c r="T16" s="23"/>
      <c r="U16" s="24" t="n">
        <v>5500</v>
      </c>
      <c r="V16" s="25" t="n">
        <v>1.00316362727055</v>
      </c>
      <c r="W16" s="25" t="n">
        <v>0</v>
      </c>
      <c r="X16" s="25" t="n">
        <v>0.861272727272727</v>
      </c>
      <c r="Y16" s="25" t="n">
        <v>0.086</v>
      </c>
      <c r="Z16" s="25" t="n">
        <v>0</v>
      </c>
      <c r="AA16" s="25" t="n">
        <v>0</v>
      </c>
      <c r="AB16" s="23"/>
      <c r="AC16" s="26"/>
      <c r="AD16" s="26"/>
      <c r="AE16" s="23"/>
      <c r="AF16" s="23" t="str">
        <f aca="false">IF(AB16="","",AB16*AC16)</f>
        <v/>
      </c>
      <c r="AG16" s="23" t="str">
        <f aca="false">IF(AB16="","",AB16*AD16)</f>
        <v/>
      </c>
      <c r="AH16" s="27" t="str">
        <f aca="false">IFERROR(IF(AB16="","",AG16/AF16),"")</f>
        <v/>
      </c>
      <c r="AI16" s="27" t="str">
        <f aca="false">IFERROR(IF(AB16="","",AG16/AE16),"")</f>
        <v/>
      </c>
      <c r="AJ16" s="23" t="str">
        <f aca="false">IFERROR(IF(AB16="","",AB16/AI16),"")</f>
        <v/>
      </c>
      <c r="AK16" s="23" t="str">
        <f aca="false">IF(AB16="","",AB16-AJ16)</f>
        <v/>
      </c>
      <c r="AL16" s="16"/>
      <c r="AM16" s="16"/>
      <c r="AN16" s="28"/>
      <c r="AO16" s="28"/>
      <c r="AP16" s="28"/>
      <c r="AQ16" s="28"/>
      <c r="AR16" s="28"/>
      <c r="AS16" s="17"/>
    </row>
    <row r="17" customFormat="false" ht="15" hidden="false" customHeight="false" outlineLevel="0" collapsed="false">
      <c r="A17" s="13" t="n">
        <v>10</v>
      </c>
      <c r="B17" s="14" t="s">
        <v>108</v>
      </c>
      <c r="C17" s="15" t="s">
        <v>109</v>
      </c>
      <c r="D17" s="29" t="s">
        <v>110</v>
      </c>
      <c r="E17" s="17" t="s">
        <v>111</v>
      </c>
      <c r="F17" s="17" t="s">
        <v>112</v>
      </c>
      <c r="G17" s="30" t="s">
        <v>113</v>
      </c>
      <c r="H17" s="14"/>
      <c r="I17" s="18"/>
      <c r="J17" s="29" t="s">
        <v>60</v>
      </c>
      <c r="K17" s="16" t="s">
        <v>61</v>
      </c>
      <c r="L17" s="17" t="s">
        <v>80</v>
      </c>
      <c r="M17" s="20" t="n">
        <v>45986</v>
      </c>
      <c r="N17" s="21"/>
      <c r="O17" s="20" t="n">
        <v>46112</v>
      </c>
      <c r="P17" s="21"/>
      <c r="Q17" s="14"/>
      <c r="R17" s="16" t="str">
        <f aca="true">IF(AND(P17&lt;&gt;"",K17="Đang triển khai",OR(AD17="",AD17&lt;1),Q17&lt;&gt;"Có",(P17-TODAY())&lt;=30),"Có","Không")</f>
        <v>Không</v>
      </c>
      <c r="S17" s="31" t="s">
        <v>114</v>
      </c>
      <c r="T17" s="32" t="n">
        <v>18.46</v>
      </c>
      <c r="U17" s="24" t="n">
        <v>337</v>
      </c>
      <c r="V17" s="25" t="n">
        <v>1.01186943620178</v>
      </c>
      <c r="W17" s="25" t="n">
        <v>0</v>
      </c>
      <c r="X17" s="25" t="n">
        <v>1.01186943620178</v>
      </c>
      <c r="Y17" s="25" t="n">
        <v>1.01186943620178</v>
      </c>
      <c r="Z17" s="25" t="n">
        <v>0</v>
      </c>
      <c r="AA17" s="25" t="n">
        <v>0</v>
      </c>
      <c r="AB17" s="23"/>
      <c r="AC17" s="26"/>
      <c r="AD17" s="26"/>
      <c r="AE17" s="23"/>
      <c r="AF17" s="23" t="str">
        <f aca="false">IF(AB17="","",AB17*AC17)</f>
        <v/>
      </c>
      <c r="AG17" s="23" t="str">
        <f aca="false">IF(AB17="","",AB17*AD17)</f>
        <v/>
      </c>
      <c r="AH17" s="27" t="str">
        <f aca="false">IFERROR(IF(AB17="","",AG17/AF17),"")</f>
        <v/>
      </c>
      <c r="AI17" s="27" t="str">
        <f aca="false">IFERROR(IF(AB17="","",AG17/AE17),"")</f>
        <v/>
      </c>
      <c r="AJ17" s="23" t="str">
        <f aca="false">IFERROR(IF(AB17="","",AB17/AI17),"")</f>
        <v/>
      </c>
      <c r="AK17" s="23" t="str">
        <f aca="false">IF(AB17="","",AB17-AJ17)</f>
        <v/>
      </c>
      <c r="AL17" s="16"/>
      <c r="AM17" s="16"/>
      <c r="AN17" s="28"/>
      <c r="AO17" s="28"/>
      <c r="AP17" s="28"/>
      <c r="AQ17" s="28"/>
      <c r="AR17" s="28"/>
      <c r="AS17" s="17"/>
    </row>
    <row r="18" customFormat="false" ht="15" hidden="false" customHeight="false" outlineLevel="0" collapsed="false">
      <c r="A18" s="13" t="n">
        <v>11</v>
      </c>
      <c r="B18" s="14" t="s">
        <v>115</v>
      </c>
      <c r="C18" s="15" t="s">
        <v>116</v>
      </c>
      <c r="D18" s="16"/>
      <c r="E18" s="17" t="s">
        <v>117</v>
      </c>
      <c r="F18" s="17" t="s">
        <v>118</v>
      </c>
      <c r="G18" s="18"/>
      <c r="H18" s="14"/>
      <c r="I18" s="19" t="s">
        <v>119</v>
      </c>
      <c r="J18" s="16" t="s">
        <v>120</v>
      </c>
      <c r="K18" s="16" t="s">
        <v>61</v>
      </c>
      <c r="L18" s="17" t="s">
        <v>68</v>
      </c>
      <c r="M18" s="20" t="n">
        <v>45833</v>
      </c>
      <c r="N18" s="21"/>
      <c r="O18" s="20" t="n">
        <v>46310</v>
      </c>
      <c r="P18" s="21"/>
      <c r="Q18" s="14"/>
      <c r="R18" s="16" t="str">
        <f aca="true">IF(AND(P18&lt;&gt;"",K18="Đang triển khai",OR(AD18="",AD18&lt;1),Q18&lt;&gt;"Có",(P18-TODAY())&lt;=30),"Có","Không")</f>
        <v>Không</v>
      </c>
      <c r="S18" s="22"/>
      <c r="T18" s="23"/>
      <c r="U18" s="24" t="n">
        <v>4441</v>
      </c>
      <c r="V18" s="25" t="n">
        <v>1.44900450123871</v>
      </c>
      <c r="W18" s="25" t="n">
        <v>0</v>
      </c>
      <c r="X18" s="25" t="n">
        <v>0.506417473541995</v>
      </c>
      <c r="Y18" s="25" t="n">
        <v>0.474442693087143</v>
      </c>
      <c r="Z18" s="25" t="n">
        <v>0</v>
      </c>
      <c r="AA18" s="25" t="n">
        <v>0</v>
      </c>
      <c r="AB18" s="23"/>
      <c r="AC18" s="26"/>
      <c r="AD18" s="26"/>
      <c r="AE18" s="23"/>
      <c r="AF18" s="23" t="str">
        <f aca="false">IF(AB18="","",AB18*AC18)</f>
        <v/>
      </c>
      <c r="AG18" s="23" t="str">
        <f aca="false">IF(AB18="","",AB18*AD18)</f>
        <v/>
      </c>
      <c r="AH18" s="27" t="str">
        <f aca="false">IFERROR(IF(AB18="","",AG18/AF18),"")</f>
        <v/>
      </c>
      <c r="AI18" s="27" t="str">
        <f aca="false">IFERROR(IF(AB18="","",AG18/AE18),"")</f>
        <v/>
      </c>
      <c r="AJ18" s="23" t="str">
        <f aca="false">IFERROR(IF(AB18="","",AB18/AI18),"")</f>
        <v/>
      </c>
      <c r="AK18" s="23" t="str">
        <f aca="false">IF(AB18="","",AB18-AJ18)</f>
        <v/>
      </c>
      <c r="AL18" s="16"/>
      <c r="AM18" s="16"/>
      <c r="AN18" s="28"/>
      <c r="AO18" s="28"/>
      <c r="AP18" s="28"/>
      <c r="AQ18" s="28"/>
      <c r="AR18" s="28"/>
      <c r="AS18" s="17"/>
    </row>
    <row r="19" customFormat="false" ht="15" hidden="false" customHeight="false" outlineLevel="0" collapsed="false">
      <c r="A19" s="13" t="n">
        <v>12</v>
      </c>
      <c r="B19" s="14" t="s">
        <v>121</v>
      </c>
      <c r="C19" s="15" t="s">
        <v>122</v>
      </c>
      <c r="D19" s="16"/>
      <c r="E19" s="17" t="s">
        <v>123</v>
      </c>
      <c r="F19" s="17" t="s">
        <v>118</v>
      </c>
      <c r="G19" s="18"/>
      <c r="H19" s="14"/>
      <c r="I19" s="19" t="s">
        <v>119</v>
      </c>
      <c r="J19" s="16" t="s">
        <v>120</v>
      </c>
      <c r="K19" s="16" t="s">
        <v>61</v>
      </c>
      <c r="L19" s="17" t="s">
        <v>68</v>
      </c>
      <c r="M19" s="20" t="n">
        <v>45833</v>
      </c>
      <c r="N19" s="21"/>
      <c r="O19" s="20" t="n">
        <v>46371</v>
      </c>
      <c r="P19" s="21"/>
      <c r="Q19" s="14"/>
      <c r="R19" s="16" t="str">
        <f aca="true">IF(AND(P19&lt;&gt;"",K19="Đang triển khai",OR(AD19="",AD19&lt;1),Q19&lt;&gt;"Có",(P19-TODAY())&lt;=30),"Có","Không")</f>
        <v>Không</v>
      </c>
      <c r="S19" s="22"/>
      <c r="T19" s="23"/>
      <c r="U19" s="24" t="n">
        <v>2110</v>
      </c>
      <c r="V19" s="25" t="n">
        <v>0.794113800947879</v>
      </c>
      <c r="W19" s="25" t="n">
        <v>0</v>
      </c>
      <c r="X19" s="25" t="n">
        <v>0.359241706161137</v>
      </c>
      <c r="Y19" s="25" t="n">
        <v>0.138388625592417</v>
      </c>
      <c r="Z19" s="25" t="n">
        <v>0</v>
      </c>
      <c r="AA19" s="25" t="n">
        <v>0</v>
      </c>
      <c r="AB19" s="23"/>
      <c r="AC19" s="26"/>
      <c r="AD19" s="26"/>
      <c r="AE19" s="23"/>
      <c r="AF19" s="23" t="str">
        <f aca="false">IF(AB19="","",AB19*AC19)</f>
        <v/>
      </c>
      <c r="AG19" s="23" t="str">
        <f aca="false">IF(AB19="","",AB19*AD19)</f>
        <v/>
      </c>
      <c r="AH19" s="27" t="str">
        <f aca="false">IFERROR(IF(AB19="","",AG19/AF19),"")</f>
        <v/>
      </c>
      <c r="AI19" s="27" t="str">
        <f aca="false">IFERROR(IF(AB19="","",AG19/AE19),"")</f>
        <v/>
      </c>
      <c r="AJ19" s="23" t="str">
        <f aca="false">IFERROR(IF(AB19="","",AB19/AI19),"")</f>
        <v/>
      </c>
      <c r="AK19" s="23" t="str">
        <f aca="false">IF(AB19="","",AB19-AJ19)</f>
        <v/>
      </c>
      <c r="AL19" s="16"/>
      <c r="AM19" s="16"/>
      <c r="AN19" s="28"/>
      <c r="AO19" s="28"/>
      <c r="AP19" s="28"/>
      <c r="AQ19" s="28"/>
      <c r="AR19" s="28"/>
      <c r="AS19" s="17"/>
    </row>
    <row r="20" customFormat="false" ht="15" hidden="false" customHeight="false" outlineLevel="0" collapsed="false">
      <c r="A20" s="13" t="n">
        <v>13</v>
      </c>
      <c r="B20" s="14" t="s">
        <v>124</v>
      </c>
      <c r="C20" s="15" t="s">
        <v>125</v>
      </c>
      <c r="D20" s="16"/>
      <c r="E20" s="17" t="s">
        <v>126</v>
      </c>
      <c r="F20" s="17" t="s">
        <v>118</v>
      </c>
      <c r="G20" s="18"/>
      <c r="H20" s="14"/>
      <c r="I20" s="19" t="s">
        <v>119</v>
      </c>
      <c r="J20" s="16" t="s">
        <v>120</v>
      </c>
      <c r="K20" s="16" t="s">
        <v>61</v>
      </c>
      <c r="L20" s="17" t="s">
        <v>68</v>
      </c>
      <c r="M20" s="20" t="n">
        <v>45773</v>
      </c>
      <c r="N20" s="21"/>
      <c r="O20" s="20" t="n">
        <v>46174</v>
      </c>
      <c r="P20" s="21"/>
      <c r="Q20" s="14"/>
      <c r="R20" s="16" t="str">
        <f aca="true">IF(AND(P20&lt;&gt;"",K20="Đang triển khai",OR(AD20="",AD20&lt;1),Q20&lt;&gt;"Có",(P20-TODAY())&lt;=30),"Có","Không")</f>
        <v>Không</v>
      </c>
      <c r="S20" s="22"/>
      <c r="T20" s="23"/>
      <c r="U20" s="24" t="n">
        <v>2430</v>
      </c>
      <c r="V20" s="25" t="n">
        <v>1.49649438271615</v>
      </c>
      <c r="W20" s="25" t="n">
        <v>0</v>
      </c>
      <c r="X20" s="25" t="n">
        <v>0.59917695473251</v>
      </c>
      <c r="Y20" s="25" t="n">
        <v>0.59917695473251</v>
      </c>
      <c r="Z20" s="25" t="n">
        <v>0</v>
      </c>
      <c r="AA20" s="25" t="n">
        <v>0</v>
      </c>
      <c r="AB20" s="23"/>
      <c r="AC20" s="26"/>
      <c r="AD20" s="26"/>
      <c r="AE20" s="23"/>
      <c r="AF20" s="23" t="str">
        <f aca="false">IF(AB20="","",AB20*AC20)</f>
        <v/>
      </c>
      <c r="AG20" s="23" t="str">
        <f aca="false">IF(AB20="","",AB20*AD20)</f>
        <v/>
      </c>
      <c r="AH20" s="27" t="str">
        <f aca="false">IFERROR(IF(AB20="","",AG20/AF20),"")</f>
        <v/>
      </c>
      <c r="AI20" s="27" t="str">
        <f aca="false">IFERROR(IF(AB20="","",AG20/AE20),"")</f>
        <v/>
      </c>
      <c r="AJ20" s="23" t="str">
        <f aca="false">IFERROR(IF(AB20="","",AB20/AI20),"")</f>
        <v/>
      </c>
      <c r="AK20" s="23" t="str">
        <f aca="false">IF(AB20="","",AB20-AJ20)</f>
        <v/>
      </c>
      <c r="AL20" s="16"/>
      <c r="AM20" s="16"/>
      <c r="AN20" s="28"/>
      <c r="AO20" s="28"/>
      <c r="AP20" s="28"/>
      <c r="AQ20" s="28"/>
      <c r="AR20" s="28"/>
      <c r="AS20" s="17"/>
    </row>
    <row r="21" customFormat="false" ht="15.75" hidden="false" customHeight="true" outlineLevel="0" collapsed="false">
      <c r="A21" s="13" t="n">
        <v>14</v>
      </c>
      <c r="B21" s="14" t="s">
        <v>127</v>
      </c>
      <c r="C21" s="15" t="s">
        <v>128</v>
      </c>
      <c r="D21" s="16"/>
      <c r="E21" s="17" t="s">
        <v>129</v>
      </c>
      <c r="F21" s="17" t="s">
        <v>118</v>
      </c>
      <c r="G21" s="18"/>
      <c r="H21" s="14"/>
      <c r="I21" s="19" t="s">
        <v>119</v>
      </c>
      <c r="J21" s="16" t="s">
        <v>120</v>
      </c>
      <c r="K21" s="16" t="s">
        <v>61</v>
      </c>
      <c r="L21" s="17" t="s">
        <v>68</v>
      </c>
      <c r="M21" s="20" t="n">
        <v>45964</v>
      </c>
      <c r="N21" s="21"/>
      <c r="O21" s="20" t="n">
        <v>46232</v>
      </c>
      <c r="P21" s="21"/>
      <c r="Q21" s="14"/>
      <c r="R21" s="16" t="str">
        <f aca="true">IF(AND(P21&lt;&gt;"",K21="Đang triển khai",OR(AD21="",AD21&lt;1),Q21&lt;&gt;"Có",(P21-TODAY())&lt;=30),"Có","Không")</f>
        <v>Không</v>
      </c>
      <c r="S21" s="22"/>
      <c r="T21" s="23"/>
      <c r="U21" s="24" t="n">
        <v>2117</v>
      </c>
      <c r="V21" s="25" t="n">
        <v>1.23532042512983</v>
      </c>
      <c r="W21" s="25" t="n">
        <v>0</v>
      </c>
      <c r="X21" s="25" t="n">
        <v>0.195087387812943</v>
      </c>
      <c r="Y21" s="25" t="n">
        <v>0.179026924893718</v>
      </c>
      <c r="Z21" s="25" t="n">
        <v>0</v>
      </c>
      <c r="AA21" s="25" t="n">
        <v>0</v>
      </c>
      <c r="AB21" s="23"/>
      <c r="AC21" s="26"/>
      <c r="AD21" s="26"/>
      <c r="AE21" s="23"/>
      <c r="AF21" s="23" t="str">
        <f aca="false">IF(AB21="","",AB21*AC21)</f>
        <v/>
      </c>
      <c r="AG21" s="23" t="str">
        <f aca="false">IF(AB21="","",AB21*AD21)</f>
        <v/>
      </c>
      <c r="AH21" s="27" t="str">
        <f aca="false">IFERROR(IF(AB21="","",AG21/AF21),"")</f>
        <v/>
      </c>
      <c r="AI21" s="27" t="str">
        <f aca="false">IFERROR(IF(AB21="","",AG21/AE21),"")</f>
        <v/>
      </c>
      <c r="AJ21" s="23" t="str">
        <f aca="false">IFERROR(IF(AB21="","",AB21/AI21),"")</f>
        <v/>
      </c>
      <c r="AK21" s="23" t="str">
        <f aca="false">IF(AB21="","",AB21-AJ21)</f>
        <v/>
      </c>
      <c r="AL21" s="16"/>
      <c r="AM21" s="16"/>
      <c r="AN21" s="28"/>
      <c r="AO21" s="28"/>
      <c r="AP21" s="28"/>
      <c r="AQ21" s="28"/>
      <c r="AR21" s="28"/>
      <c r="AS21" s="17"/>
    </row>
    <row r="22" customFormat="false" ht="15.75" hidden="false" customHeight="true" outlineLevel="0" collapsed="false">
      <c r="A22" s="13" t="n">
        <v>15</v>
      </c>
      <c r="B22" s="14" t="s">
        <v>130</v>
      </c>
      <c r="C22" s="15" t="s">
        <v>131</v>
      </c>
      <c r="D22" s="16"/>
      <c r="E22" s="17" t="s">
        <v>132</v>
      </c>
      <c r="F22" s="17" t="s">
        <v>118</v>
      </c>
      <c r="G22" s="18"/>
      <c r="H22" s="14"/>
      <c r="I22" s="19" t="s">
        <v>119</v>
      </c>
      <c r="J22" s="16" t="s">
        <v>120</v>
      </c>
      <c r="K22" s="16" t="s">
        <v>61</v>
      </c>
      <c r="L22" s="17" t="s">
        <v>68</v>
      </c>
      <c r="M22" s="20" t="n">
        <v>45953</v>
      </c>
      <c r="N22" s="21"/>
      <c r="O22" s="20" t="n">
        <v>46218</v>
      </c>
      <c r="P22" s="21"/>
      <c r="Q22" s="14"/>
      <c r="R22" s="16" t="str">
        <f aca="true">IF(AND(P22&lt;&gt;"",K22="Đang triển khai",OR(AD22="",AD22&lt;1),Q22&lt;&gt;"Có",(P22-TODAY())&lt;=30),"Có","Không")</f>
        <v>Không</v>
      </c>
      <c r="S22" s="22"/>
      <c r="T22" s="23"/>
      <c r="U22" s="24" t="n">
        <v>1860</v>
      </c>
      <c r="V22" s="25" t="n">
        <v>0.49161723118279</v>
      </c>
      <c r="W22" s="25" t="n">
        <v>0</v>
      </c>
      <c r="X22" s="25" t="n">
        <v>0.185483870967742</v>
      </c>
      <c r="Y22" s="25" t="n">
        <v>0.185483870967742</v>
      </c>
      <c r="Z22" s="25" t="n">
        <v>0</v>
      </c>
      <c r="AA22" s="25" t="n">
        <v>0</v>
      </c>
      <c r="AB22" s="23"/>
      <c r="AC22" s="26"/>
      <c r="AD22" s="26"/>
      <c r="AE22" s="23"/>
      <c r="AF22" s="23" t="str">
        <f aca="false">IF(AB22="","",AB22*AC22)</f>
        <v/>
      </c>
      <c r="AG22" s="23" t="str">
        <f aca="false">IF(AB22="","",AB22*AD22)</f>
        <v/>
      </c>
      <c r="AH22" s="27" t="str">
        <f aca="false">IFERROR(IF(AB22="","",AG22/AF22),"")</f>
        <v/>
      </c>
      <c r="AI22" s="27" t="str">
        <f aca="false">IFERROR(IF(AB22="","",AG22/AE22),"")</f>
        <v/>
      </c>
      <c r="AJ22" s="23" t="str">
        <f aca="false">IFERROR(IF(AB22="","",AB22/AI22),"")</f>
        <v/>
      </c>
      <c r="AK22" s="23" t="str">
        <f aca="false">IF(AB22="","",AB22-AJ22)</f>
        <v/>
      </c>
      <c r="AL22" s="16"/>
      <c r="AM22" s="16"/>
      <c r="AN22" s="28"/>
      <c r="AO22" s="28"/>
      <c r="AP22" s="28"/>
      <c r="AQ22" s="28"/>
      <c r="AR22" s="28"/>
      <c r="AS22" s="17"/>
    </row>
    <row r="23" customFormat="false" ht="15.75" hidden="false" customHeight="true" outlineLevel="0" collapsed="false">
      <c r="A23" s="13" t="n">
        <v>16</v>
      </c>
      <c r="B23" s="14" t="s">
        <v>133</v>
      </c>
      <c r="C23" s="15" t="s">
        <v>134</v>
      </c>
      <c r="D23" s="16"/>
      <c r="E23" s="17" t="s">
        <v>135</v>
      </c>
      <c r="F23" s="17" t="s">
        <v>136</v>
      </c>
      <c r="G23" s="18"/>
      <c r="H23" s="14"/>
      <c r="I23" s="19" t="s">
        <v>119</v>
      </c>
      <c r="J23" s="16" t="s">
        <v>120</v>
      </c>
      <c r="K23" s="16" t="s">
        <v>61</v>
      </c>
      <c r="L23" s="17" t="s">
        <v>68</v>
      </c>
      <c r="M23" s="20" t="n">
        <v>45797</v>
      </c>
      <c r="N23" s="21"/>
      <c r="O23" s="20" t="n">
        <v>46395</v>
      </c>
      <c r="P23" s="21"/>
      <c r="Q23" s="14"/>
      <c r="R23" s="16" t="str">
        <f aca="true">IF(AND(P23&lt;&gt;"",K23="Đang triển khai",OR(AD23="",AD23&lt;1),Q23&lt;&gt;"Có",(P23-TODAY())&lt;=30),"Có","Không")</f>
        <v>Không</v>
      </c>
      <c r="S23" s="22"/>
      <c r="T23" s="23"/>
      <c r="U23" s="24" t="n">
        <v>3726</v>
      </c>
      <c r="V23" s="25" t="n">
        <v>1.50680533816431</v>
      </c>
      <c r="W23" s="25" t="n">
        <v>0</v>
      </c>
      <c r="X23" s="25" t="n">
        <v>0.755501878690285</v>
      </c>
      <c r="Y23" s="25" t="n">
        <v>0.755501878690285</v>
      </c>
      <c r="Z23" s="25" t="n">
        <v>0</v>
      </c>
      <c r="AA23" s="25" t="n">
        <v>0</v>
      </c>
      <c r="AB23" s="23"/>
      <c r="AC23" s="26"/>
      <c r="AD23" s="26"/>
      <c r="AE23" s="23"/>
      <c r="AF23" s="23" t="str">
        <f aca="false">IF(AB23="","",AB23*AC23)</f>
        <v/>
      </c>
      <c r="AG23" s="23" t="str">
        <f aca="false">IF(AB23="","",AB23*AD23)</f>
        <v/>
      </c>
      <c r="AH23" s="27" t="str">
        <f aca="false">IFERROR(IF(AB23="","",AG23/AF23),"")</f>
        <v/>
      </c>
      <c r="AI23" s="27" t="str">
        <f aca="false">IFERROR(IF(AB23="","",AG23/AE23),"")</f>
        <v/>
      </c>
      <c r="AJ23" s="23" t="str">
        <f aca="false">IFERROR(IF(AB23="","",AB23/AI23),"")</f>
        <v/>
      </c>
      <c r="AK23" s="23" t="str">
        <f aca="false">IF(AB23="","",AB23-AJ23)</f>
        <v/>
      </c>
      <c r="AL23" s="16"/>
      <c r="AM23" s="16"/>
      <c r="AN23" s="28"/>
      <c r="AO23" s="28"/>
      <c r="AP23" s="28"/>
      <c r="AQ23" s="28"/>
      <c r="AR23" s="28"/>
      <c r="AS23" s="17"/>
    </row>
    <row r="24" customFormat="false" ht="15.75" hidden="false" customHeight="true" outlineLevel="0" collapsed="false">
      <c r="A24" s="13" t="n">
        <v>17</v>
      </c>
      <c r="B24" s="14" t="s">
        <v>137</v>
      </c>
      <c r="C24" s="15" t="s">
        <v>138</v>
      </c>
      <c r="D24" s="16"/>
      <c r="E24" s="17" t="s">
        <v>139</v>
      </c>
      <c r="F24" s="17" t="s">
        <v>140</v>
      </c>
      <c r="G24" s="18"/>
      <c r="H24" s="14"/>
      <c r="I24" s="19" t="s">
        <v>79</v>
      </c>
      <c r="J24" s="16" t="s">
        <v>60</v>
      </c>
      <c r="K24" s="16" t="s">
        <v>141</v>
      </c>
      <c r="L24" s="17" t="s">
        <v>68</v>
      </c>
      <c r="M24" s="20" t="n">
        <v>46027</v>
      </c>
      <c r="N24" s="21"/>
      <c r="O24" s="20" t="n">
        <v>46190</v>
      </c>
      <c r="P24" s="21"/>
      <c r="Q24" s="14"/>
      <c r="R24" s="16" t="str">
        <f aca="true">IF(AND(P24&lt;&gt;"",K24="Đang triển khai",OR(AD24="",AD24&lt;1),Q24&lt;&gt;"Có",(P24-TODAY())&lt;=30),"Có","Không")</f>
        <v>Không</v>
      </c>
      <c r="S24" s="22"/>
      <c r="T24" s="23"/>
      <c r="U24" s="24" t="n">
        <v>1531</v>
      </c>
      <c r="V24" s="25" t="n">
        <v>0</v>
      </c>
      <c r="W24" s="25" t="n">
        <v>0</v>
      </c>
      <c r="X24" s="25" t="n">
        <v>0</v>
      </c>
      <c r="Y24" s="25" t="n">
        <v>0</v>
      </c>
      <c r="Z24" s="25" t="n">
        <v>0</v>
      </c>
      <c r="AA24" s="25" t="n">
        <v>0</v>
      </c>
      <c r="AB24" s="23"/>
      <c r="AC24" s="26"/>
      <c r="AD24" s="26"/>
      <c r="AE24" s="23"/>
      <c r="AF24" s="23" t="str">
        <f aca="false">IF(AB24="","",AB24*AC24)</f>
        <v/>
      </c>
      <c r="AG24" s="23" t="str">
        <f aca="false">IF(AB24="","",AB24*AD24)</f>
        <v/>
      </c>
      <c r="AH24" s="27" t="str">
        <f aca="false">IFERROR(IF(AB24="","",AG24/AF24),"")</f>
        <v/>
      </c>
      <c r="AI24" s="27" t="str">
        <f aca="false">IFERROR(IF(AB24="","",AG24/AE24),"")</f>
        <v/>
      </c>
      <c r="AJ24" s="23" t="str">
        <f aca="false">IFERROR(IF(AB24="","",AB24/AI24),"")</f>
        <v/>
      </c>
      <c r="AK24" s="23" t="str">
        <f aca="false">IF(AB24="","",AB24-AJ24)</f>
        <v/>
      </c>
      <c r="AL24" s="16"/>
      <c r="AM24" s="16"/>
      <c r="AN24" s="28"/>
      <c r="AO24" s="28"/>
      <c r="AP24" s="28"/>
      <c r="AQ24" s="28"/>
      <c r="AR24" s="28"/>
      <c r="AS24" s="17"/>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7:AS24"/>
  <mergeCells count="3">
    <mergeCell ref="A3:AS3"/>
    <mergeCell ref="A4:AS4"/>
    <mergeCell ref="A5:AS5"/>
  </mergeCells>
  <dataValidations count="6">
    <dataValidation allowBlank="true" errorStyle="stop" operator="between" showDropDown="false" showErrorMessage="false" showInputMessage="false" sqref="H8:H24" type="list">
      <formula1>DanhMuc_ThamChieu!$A$3:$A$6</formula1>
      <formula2>0</formula2>
    </dataValidation>
    <dataValidation allowBlank="true" errorStyle="stop" operator="between" showDropDown="false" showErrorMessage="false" showInputMessage="false" sqref="K8:K24" type="list">
      <formula1>DanhMuc_ThamChieu!$C$3:$C$6</formula1>
      <formula2>0</formula2>
    </dataValidation>
    <dataValidation allowBlank="true" errorStyle="stop" operator="between" showDropDown="false" showErrorMessage="false" showInputMessage="false" sqref="I8:I24" type="list">
      <formula1>DanhMuc_ThamChieu!$B$3:$B$11</formula1>
      <formula2>0</formula2>
    </dataValidation>
    <dataValidation allowBlank="true" errorStyle="stop" operator="between" showDropDown="false" showErrorMessage="false" showInputMessage="false" sqref="J8:J24" type="list">
      <formula1>DanhMuc_ThamChieu!$D$3:$D$4</formula1>
      <formula2>0</formula2>
    </dataValidation>
    <dataValidation allowBlank="true" errorStyle="stop" operator="between" showDropDown="false" showErrorMessage="false" showInputMessage="false" sqref="G8:G24" type="list">
      <formula1>DanhMuc_ThamChieu!$F$3:$F$12</formula1>
      <formula2>0</formula2>
    </dataValidation>
    <dataValidation allowBlank="true" errorStyle="stop" operator="between" showDropDown="false" showErrorMessage="false" showInputMessage="false" sqref="Q8:Q24" type="list">
      <formula1>DanhMuc_ThamChieu!$E$3:$E$4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33" t="s">
        <v>142</v>
      </c>
    </row>
    <row r="2" customFormat="false" ht="15" hidden="false" customHeight="false" outlineLevel="0" collapsed="false">
      <c r="A2" s="34" t="s">
        <v>17</v>
      </c>
      <c r="B2" s="34" t="s">
        <v>143</v>
      </c>
      <c r="C2" s="34" t="s">
        <v>144</v>
      </c>
      <c r="D2" s="34" t="s">
        <v>145</v>
      </c>
      <c r="E2" s="34" t="s">
        <v>146</v>
      </c>
      <c r="F2" s="34" t="s">
        <v>147</v>
      </c>
    </row>
    <row r="3" customFormat="false" ht="15" hidden="false" customHeight="false" outlineLevel="0" collapsed="false">
      <c r="A3" s="33" t="s">
        <v>148</v>
      </c>
      <c r="B3" s="33" t="s">
        <v>149</v>
      </c>
      <c r="C3" s="33" t="s">
        <v>61</v>
      </c>
      <c r="D3" s="33" t="s">
        <v>60</v>
      </c>
      <c r="E3" s="33" t="s">
        <v>150</v>
      </c>
      <c r="F3" s="33" t="s">
        <v>151</v>
      </c>
    </row>
    <row r="4" customFormat="false" ht="15" hidden="false" customHeight="false" outlineLevel="0" collapsed="false">
      <c r="A4" s="33" t="s">
        <v>152</v>
      </c>
      <c r="B4" s="33" t="s">
        <v>79</v>
      </c>
      <c r="C4" s="33" t="s">
        <v>141</v>
      </c>
      <c r="D4" s="33" t="s">
        <v>120</v>
      </c>
      <c r="E4" s="33" t="s">
        <v>153</v>
      </c>
      <c r="F4" s="33" t="s">
        <v>154</v>
      </c>
    </row>
    <row r="5" customFormat="false" ht="15" hidden="false" customHeight="false" outlineLevel="0" collapsed="false">
      <c r="A5" s="33" t="s">
        <v>155</v>
      </c>
      <c r="B5" s="33" t="s">
        <v>59</v>
      </c>
      <c r="C5" s="33" t="s">
        <v>156</v>
      </c>
      <c r="F5" s="33" t="s">
        <v>157</v>
      </c>
    </row>
    <row r="6" customFormat="false" ht="15" hidden="false" customHeight="false" outlineLevel="0" collapsed="false">
      <c r="A6" s="33" t="s">
        <v>158</v>
      </c>
      <c r="B6" s="33" t="s">
        <v>107</v>
      </c>
      <c r="C6" s="33" t="s">
        <v>159</v>
      </c>
      <c r="F6" s="33" t="s">
        <v>160</v>
      </c>
    </row>
    <row r="7" customFormat="false" ht="15" hidden="false" customHeight="false" outlineLevel="0" collapsed="false">
      <c r="B7" s="33" t="s">
        <v>161</v>
      </c>
      <c r="F7" s="33" t="s">
        <v>162</v>
      </c>
    </row>
    <row r="8" customFormat="false" ht="15" hidden="false" customHeight="false" outlineLevel="0" collapsed="false">
      <c r="B8" s="33" t="s">
        <v>163</v>
      </c>
      <c r="F8" s="33" t="s">
        <v>164</v>
      </c>
    </row>
    <row r="9" customFormat="false" ht="15" hidden="false" customHeight="false" outlineLevel="0" collapsed="false">
      <c r="B9" s="33" t="s">
        <v>165</v>
      </c>
      <c r="F9" s="33" t="s">
        <v>166</v>
      </c>
    </row>
    <row r="10" customFormat="false" ht="15" hidden="false" customHeight="false" outlineLevel="0" collapsed="false">
      <c r="B10" s="33" t="s">
        <v>167</v>
      </c>
      <c r="F10" s="33" t="s">
        <v>168</v>
      </c>
    </row>
    <row r="11" customFormat="false" ht="15" hidden="false" customHeight="false" outlineLevel="0" collapsed="false">
      <c r="B11" s="33" t="s">
        <v>169</v>
      </c>
      <c r="F11" s="33" t="s">
        <v>170</v>
      </c>
    </row>
    <row r="12" customFormat="false" ht="15" hidden="false" customHeight="false" outlineLevel="0" collapsed="false">
      <c r="F12" s="33" t="s">
        <v>171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9" min="1" style="0" width="16"/>
    <col collapsed="false" customWidth="true" hidden="false" outlineLevel="0" max="26" min="10" style="0" width="8.71"/>
  </cols>
  <sheetData>
    <row r="1" customFormat="false" ht="16.15" hidden="false" customHeight="false" outlineLevel="0" collapsed="false">
      <c r="A1" s="35" t="s">
        <v>172</v>
      </c>
      <c r="B1" s="35"/>
      <c r="C1" s="35"/>
      <c r="D1" s="35"/>
      <c r="E1" s="35"/>
      <c r="F1" s="35"/>
      <c r="G1" s="35"/>
      <c r="H1" s="35"/>
      <c r="I1" s="35"/>
    </row>
    <row r="3" customFormat="false" ht="30" hidden="false" customHeight="true" outlineLevel="0" collapsed="false">
      <c r="A3" s="9" t="s">
        <v>173</v>
      </c>
      <c r="B3" s="9" t="s">
        <v>174</v>
      </c>
      <c r="C3" s="9" t="s">
        <v>156</v>
      </c>
      <c r="D3" s="9" t="s">
        <v>61</v>
      </c>
      <c r="E3" s="9" t="s">
        <v>141</v>
      </c>
      <c r="F3" s="9" t="s">
        <v>175</v>
      </c>
      <c r="G3" s="9" t="s">
        <v>176</v>
      </c>
      <c r="H3" s="9" t="s">
        <v>177</v>
      </c>
      <c r="I3" s="9" t="s">
        <v>178</v>
      </c>
    </row>
    <row r="4" customFormat="false" ht="15" hidden="false" customHeight="false" outlineLevel="0" collapsed="false">
      <c r="A4" s="36" t="str">
        <f aca="true">TEXT(TODAY(),"yyyy-mm")&amp;" (tự động - hiện tại)"</f>
        <v>2026-09 (tự động - hiện tại)</v>
      </c>
      <c r="B4" s="37" t="n">
        <f aca="false">COUNTA(MasterData!$C$8:$C$24)</f>
        <v>17</v>
      </c>
      <c r="C4" s="37" t="n">
        <f aca="false">COUNTIF(MasterData!$K$8:$K$24,"Hoàn thành")</f>
        <v>0</v>
      </c>
      <c r="D4" s="37" t="n">
        <f aca="false">COUNTIF(MasterData!$K$8:$K$24,"Đang triển khai")</f>
        <v>16</v>
      </c>
      <c r="E4" s="37" t="n">
        <f aca="false">COUNTIF(MasterData!$K$8:$K$24,"Chuẩn bị triển khai")</f>
        <v>1</v>
      </c>
      <c r="F4" s="37" t="n">
        <f aca="false">SUMPRODUCT((MasterData!$K$8:$K$24="Đang triển khai")*ISNUMBER(MasterData!$AD$8:$AD$24)*(MasterData!$AD$8:$AD$24&gt;=MasterData!$AC$8:$AC$24-0.05))</f>
        <v>2</v>
      </c>
      <c r="G4" s="37" t="n">
        <f aca="false">COUNTIF(MasterData!$K$8:$K$24,"Đang triển khai")-F4</f>
        <v>14</v>
      </c>
      <c r="H4" s="37" t="n">
        <f aca="false">COUNTIF(MasterData!$R$8:$R$24,"Có")</f>
        <v>0</v>
      </c>
      <c r="I4" s="37" t="n">
        <f aca="false">COUNTIF(MasterData!$Q$8:$Q$24,"Có")</f>
        <v>0</v>
      </c>
    </row>
    <row r="5" customFormat="false" ht="15" hidden="false" customHeight="false" outlineLevel="0" collapsed="false">
      <c r="A5" s="38"/>
      <c r="B5" s="39"/>
      <c r="C5" s="39"/>
      <c r="D5" s="39"/>
      <c r="E5" s="39"/>
      <c r="F5" s="39"/>
      <c r="G5" s="39"/>
      <c r="H5" s="39"/>
      <c r="I5" s="39"/>
    </row>
    <row r="6" customFormat="false" ht="15" hidden="false" customHeight="false" outlineLevel="0" collapsed="false">
      <c r="A6" s="38"/>
      <c r="B6" s="39"/>
      <c r="C6" s="39"/>
      <c r="D6" s="39"/>
      <c r="E6" s="39"/>
      <c r="F6" s="39"/>
      <c r="G6" s="39"/>
      <c r="H6" s="39"/>
      <c r="I6" s="39"/>
    </row>
    <row r="7" customFormat="false" ht="15" hidden="false" customHeight="false" outlineLevel="0" collapsed="false">
      <c r="A7" s="38"/>
      <c r="B7" s="39"/>
      <c r="C7" s="39"/>
      <c r="D7" s="39"/>
      <c r="E7" s="39"/>
      <c r="F7" s="39"/>
      <c r="G7" s="39"/>
      <c r="H7" s="39"/>
      <c r="I7" s="39"/>
    </row>
    <row r="8" customFormat="false" ht="15" hidden="false" customHeight="false" outlineLevel="0" collapsed="false">
      <c r="A8" s="38"/>
      <c r="B8" s="39"/>
      <c r="C8" s="39"/>
      <c r="D8" s="39"/>
      <c r="E8" s="39"/>
      <c r="F8" s="39"/>
      <c r="G8" s="39"/>
      <c r="H8" s="39"/>
      <c r="I8" s="39"/>
    </row>
    <row r="9" customFormat="false" ht="15" hidden="false" customHeight="false" outlineLevel="0" collapsed="false">
      <c r="A9" s="38"/>
      <c r="B9" s="39"/>
      <c r="C9" s="39"/>
      <c r="D9" s="39"/>
      <c r="E9" s="39"/>
      <c r="F9" s="39"/>
      <c r="G9" s="39"/>
      <c r="H9" s="39"/>
      <c r="I9" s="39"/>
    </row>
    <row r="10" customFormat="false" ht="15" hidden="false" customHeight="false" outlineLevel="0" collapsed="false">
      <c r="A10" s="38"/>
      <c r="B10" s="39"/>
      <c r="C10" s="39"/>
      <c r="D10" s="39"/>
      <c r="E10" s="39"/>
      <c r="F10" s="39"/>
      <c r="G10" s="39"/>
      <c r="H10" s="39"/>
      <c r="I10" s="39"/>
    </row>
    <row r="12" customFormat="false" ht="45" hidden="false" customHeight="true" outlineLevel="0" collapsed="false">
      <c r="A12" s="8" t="s">
        <v>179</v>
      </c>
      <c r="B12" s="8"/>
      <c r="C12" s="8"/>
      <c r="D12" s="8"/>
      <c r="E12" s="8"/>
      <c r="F12" s="8"/>
      <c r="G12" s="8"/>
      <c r="H12" s="8"/>
      <c r="I12" s="8"/>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I1"/>
    <mergeCell ref="A12:I1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2026-09-11T08:27:41Z</dcterms:modified>
  <cp:revision>1</cp:revision>
  <dc:subject/>
  <dc:title/>
</cp:coreProperties>
</file>